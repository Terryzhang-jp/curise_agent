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0804発注書 (ML)" sheetId="1" state="visible" r:id="rId1"/>
  </sheets>
  <definedNames>
    <definedName name="_xlnm.Print_Area" localSheetId="0">'0804発注書 (ML)'!$A$1:$L$37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9">
    <font>
      <name val="Calibri"/>
      <family val="2"/>
      <color theme="1"/>
      <sz val="11"/>
      <scheme val="minor"/>
    </font>
    <font>
      <name val="SimSun"/>
      <family val="2"/>
      <b val="1"/>
      <color rgb="FF000000"/>
      <sz val="48"/>
    </font>
    <font>
      <name val="Aptos Narrow"/>
      <family val="2"/>
      <color rgb="FF000000"/>
      <sz val="11"/>
    </font>
    <font>
      <name val="Aptos Narrow"/>
      <family val="2"/>
      <color theme="1"/>
      <sz val="11"/>
    </font>
    <font>
      <name val="Times New Roman"/>
      <family val="2"/>
      <b val="1"/>
      <color theme="1"/>
      <sz val="24"/>
    </font>
    <font>
      <name val="Times New Roman"/>
      <family val="2"/>
      <b val="1"/>
      <color rgb="FFffffff"/>
      <sz val="26"/>
    </font>
    <font>
      <name val="宋体"/>
      <family val="2"/>
      <color theme="1"/>
      <sz val="16"/>
    </font>
    <font>
      <name val="宋体"/>
      <family val="2"/>
      <color theme="1"/>
      <sz val="12"/>
    </font>
    <font>
      <name val="HGPｺﾞｼｯｸM"/>
      <family val="2"/>
      <color theme="1"/>
      <sz val="12"/>
    </font>
    <font>
      <name val="宋体"/>
      <family val="2"/>
      <color theme="1"/>
      <sz val="11"/>
    </font>
    <font>
      <name val="宋体"/>
      <family val="2"/>
      <b val="1"/>
      <color theme="1"/>
      <sz val="10"/>
    </font>
    <font>
      <name val="游ゴシック"/>
      <family val="2"/>
      <color theme="1"/>
      <sz val="12"/>
    </font>
    <font>
      <name val="HGPｺﾞｼｯｸM"/>
      <family val="2"/>
      <b val="1"/>
      <color theme="1"/>
      <sz val="12"/>
    </font>
    <font>
      <name val="宋体"/>
      <family val="2"/>
      <color theme="1"/>
      <sz val="10"/>
    </font>
    <font>
      <name val="HGPｺﾞｼｯｸM"/>
      <family val="2"/>
      <color rgb="FF000000"/>
      <sz val="12"/>
    </font>
    <font>
      <name val="Aptos Narrow"/>
      <family val="2"/>
      <color rgb="FF000000"/>
      <sz val="11"/>
      <u val="single"/>
    </font>
    <font>
      <name val="宋体"/>
      <family val="2"/>
      <b val="1"/>
      <color theme="1"/>
      <sz val="11"/>
      <u val="single"/>
    </font>
    <font>
      <name val="HGPｺﾞｼｯｸM"/>
      <family val="2"/>
      <b val="1"/>
      <color rgb="FF000000"/>
      <sz val="16"/>
      <u val="single"/>
    </font>
    <font>
      <name val="HGPｺﾞｼｯｸM"/>
      <family val="2"/>
      <b val="1"/>
      <color rgb="FF000000"/>
      <sz val="11"/>
    </font>
    <font>
      <name val="HGPｺﾞｼｯｸM"/>
      <family val="2"/>
      <color rgb="FF000000"/>
      <sz val="11"/>
    </font>
    <font>
      <name val="HGPｺﾞｼｯｸM"/>
      <family val="2"/>
      <color theme="1"/>
      <sz val="12"/>
      <u val="single"/>
    </font>
    <font>
      <name val="HGPｺﾞｼｯｸM"/>
      <family val="2"/>
      <color rgb="FF000000"/>
      <sz val="12"/>
      <u val="single"/>
    </font>
    <font>
      <name val="HGPｺﾞｼｯｸM"/>
      <family val="2"/>
      <color rgb="FF000000"/>
      <sz val="14"/>
    </font>
    <font>
      <name val="Malgun Gothic"/>
      <family val="2"/>
      <color theme="1"/>
      <sz val="12"/>
    </font>
    <font>
      <name val="Calibri"/>
      <family val="2"/>
      <color theme="1"/>
      <sz val="11"/>
    </font>
    <font>
      <name val="宋体"/>
      <family val="2"/>
      <b val="1"/>
      <color theme="1"/>
      <sz val="18"/>
    </font>
    <font>
      <name val="宋体"/>
      <family val="2"/>
      <color rgb="FF000000"/>
      <sz val="22"/>
      <u val="single"/>
    </font>
    <font>
      <name val="Aptos Display"/>
      <family val="2"/>
      <b val="1"/>
      <color theme="1"/>
      <sz val="11"/>
    </font>
    <font>
      <name val="Aptos Display"/>
      <family val="2"/>
      <b val="1"/>
      <color theme="1"/>
      <sz val="12"/>
    </font>
    <font>
      <name val="Aptos Display"/>
      <family val="2"/>
      <b val="1"/>
      <color theme="1"/>
      <sz val="9"/>
    </font>
    <font>
      <name val="Calibri"/>
      <family val="2"/>
      <color theme="1"/>
      <sz val="14"/>
    </font>
    <font>
      <name val="Calibri"/>
      <family val="2"/>
      <color theme="1"/>
      <sz val="12"/>
    </font>
    <font>
      <name val="Calibri"/>
      <family val="2"/>
      <color rgb="FF000000"/>
      <sz val="12"/>
    </font>
    <font>
      <name val="HGPｺﾞｼｯｸM"/>
      <family val="2"/>
      <color theme="1"/>
      <sz val="11"/>
    </font>
    <font>
      <name val="Calibri"/>
      <family val="2"/>
      <b val="1"/>
      <color rgb="FF000000"/>
      <sz val="14"/>
    </font>
    <font>
      <name val="Calibri"/>
      <family val="2"/>
      <b val="1"/>
      <color theme="1"/>
      <sz val="14"/>
    </font>
    <font>
      <name val="HGPｺﾞｼｯｸM"/>
      <family val="2"/>
      <b val="1"/>
      <color theme="1"/>
      <sz val="11"/>
    </font>
    <font>
      <name val="Calibri"/>
      <family val="2"/>
      <color rgb="FF000000"/>
      <sz val="11"/>
    </font>
    <font>
      <name val="Aptos Narrow"/>
      <family val="2"/>
      <color theme="1"/>
      <sz val="8"/>
    </font>
    <font>
      <name val="Aptos Narrow"/>
      <family val="2"/>
      <color theme="1"/>
      <sz val="7"/>
    </font>
    <font>
      <name val="宋体"/>
      <family val="2"/>
      <color rgb="FF000000"/>
      <sz val="14"/>
    </font>
    <font>
      <name val="Aptos Narrow"/>
      <family val="2"/>
      <b val="1"/>
      <color theme="1"/>
      <sz val="14"/>
    </font>
    <font>
      <name val="宋体"/>
      <family val="2"/>
      <color theme="1"/>
      <sz val="14"/>
    </font>
    <font>
      <name val="HGPｺﾞｼｯｸM"/>
      <family val="2"/>
      <color theme="1"/>
      <sz val="18"/>
    </font>
    <font>
      <name val="ＭＳ Ｐゴシック"/>
      <family val="2"/>
      <color rgb="FF000000"/>
      <sz val="11"/>
    </font>
    <font>
      <name val="Aptos Narrow"/>
      <family val="2"/>
      <color rgb="FF000000"/>
      <sz val="18"/>
    </font>
    <font>
      <name val="Aptos Narrow"/>
      <family val="2"/>
      <color theme="1"/>
      <sz val="18"/>
    </font>
    <font>
      <name val="ＭＳ Ｐゴシック"/>
      <family val="2"/>
      <color rgb="FF000000"/>
      <sz val="16"/>
    </font>
    <font>
      <name val="宋体"/>
      <family val="2"/>
      <color rgb="FF000000"/>
      <sz val="18"/>
    </font>
  </fonts>
  <fills count="5">
    <fill>
      <patternFill/>
    </fill>
    <fill>
      <patternFill patternType="gray125"/>
    </fill>
    <fill>
      <patternFill patternType="solid">
        <fgColor rgb="FF92d050"/>
      </patternFill>
    </fill>
    <fill>
      <patternFill patternType="solid">
        <fgColor rgb="FFd9d9d9"/>
      </patternFill>
    </fill>
    <fill>
      <patternFill patternType="solid">
        <fgColor rgb="FFffffff"/>
      </patternFill>
    </fill>
  </fills>
  <borders count="34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thin">
        <color rgb="FFc6c6c6"/>
      </bottom>
      <diagonal/>
    </border>
    <border>
      <left/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c6c6c6"/>
      </top>
      <bottom/>
      <diagonal/>
    </border>
    <border>
      <left/>
      <right style="thin">
        <color rgb="FF000000"/>
      </right>
      <top style="thin">
        <color rgb="FFc6c6c6"/>
      </top>
      <bottom style="thin">
        <color rgb="FF000000"/>
      </bottom>
      <diagonal/>
    </border>
  </borders>
  <cellStyleXfs count="1">
    <xf numFmtId="0" fontId="0" fillId="0" borderId="1"/>
  </cellStyleXfs>
  <cellXfs count="144">
    <xf numFmtId="0" fontId="0" fillId="0" borderId="0" pivotButton="0" quotePrefix="0" xfId="0"/>
    <xf numFmtId="3" fontId="1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3" fontId="3" fillId="0" borderId="1" applyAlignment="1" pivotButton="0" quotePrefix="0" xfId="0">
      <alignment horizontal="left"/>
    </xf>
    <xf numFmtId="0" fontId="3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general"/>
    </xf>
    <xf numFmtId="3" fontId="4" fillId="2" borderId="2" applyAlignment="1" pivotButton="0" quotePrefix="0" xfId="0">
      <alignment horizontal="right"/>
    </xf>
    <xf numFmtId="3" fontId="5" fillId="0" borderId="1" applyAlignment="1" pivotButton="0" quotePrefix="0" xfId="0">
      <alignment horizontal="right"/>
    </xf>
    <xf numFmtId="0" fontId="5" fillId="0" borderId="1" applyAlignment="1" pivotButton="0" quotePrefix="0" xfId="0">
      <alignment horizontal="right"/>
    </xf>
    <xf numFmtId="3" fontId="6" fillId="0" borderId="1" applyAlignment="1" pivotButton="0" quotePrefix="0" xfId="0">
      <alignment horizontal="left"/>
    </xf>
    <xf numFmtId="0" fontId="6" fillId="0" borderId="1" applyAlignment="1" pivotButton="0" quotePrefix="0" xfId="0">
      <alignment horizontal="left"/>
    </xf>
    <xf numFmtId="0" fontId="7" fillId="0" borderId="1" applyAlignment="1" pivotButton="0" quotePrefix="0" xfId="0">
      <alignment horizontal="left"/>
    </xf>
    <xf numFmtId="3" fontId="7" fillId="0" borderId="1" applyAlignment="1" pivotButton="0" quotePrefix="0" xfId="0">
      <alignment horizontal="left"/>
    </xf>
    <xf numFmtId="3" fontId="8" fillId="0" borderId="1" applyAlignment="1" pivotButton="0" quotePrefix="0" xfId="0">
      <alignment horizontal="right"/>
    </xf>
    <xf numFmtId="0" fontId="8" fillId="2" borderId="2" applyAlignment="1" pivotButton="0" quotePrefix="0" xfId="0">
      <alignment horizontal="left"/>
    </xf>
    <xf numFmtId="3" fontId="9" fillId="0" borderId="1" applyAlignment="1" pivotButton="0" quotePrefix="0" xfId="0">
      <alignment horizontal="left"/>
    </xf>
    <xf numFmtId="0" fontId="9" fillId="0" borderId="1" applyAlignment="1" pivotButton="0" quotePrefix="0" xfId="0">
      <alignment horizontal="left"/>
    </xf>
    <xf numFmtId="0" fontId="10" fillId="0" borderId="1" applyAlignment="1" pivotButton="0" quotePrefix="0" xfId="0">
      <alignment horizontal="left"/>
    </xf>
    <xf numFmtId="3" fontId="11" fillId="0" borderId="1" applyAlignment="1" pivotButton="0" quotePrefix="0" xfId="0">
      <alignment horizontal="left"/>
    </xf>
    <xf numFmtId="0" fontId="12" fillId="2" borderId="2" applyAlignment="1" pivotButton="0" quotePrefix="0" xfId="0">
      <alignment horizontal="left"/>
    </xf>
    <xf numFmtId="3" fontId="8" fillId="2" borderId="2" applyAlignment="1" pivotButton="0" quotePrefix="0" xfId="0">
      <alignment horizontal="left"/>
    </xf>
    <xf numFmtId="0" fontId="13" fillId="0" borderId="1" applyAlignment="1" pivotButton="0" quotePrefix="0" xfId="0">
      <alignment horizontal="left"/>
    </xf>
    <xf numFmtId="3" fontId="14" fillId="0" borderId="1" applyAlignment="1" pivotButton="0" quotePrefix="0" xfId="0">
      <alignment horizontal="right"/>
    </xf>
    <xf numFmtId="0" fontId="14" fillId="2" borderId="2" applyAlignment="1" pivotButton="0" quotePrefix="0" xfId="0">
      <alignment horizontal="left"/>
    </xf>
    <xf numFmtId="3" fontId="15" fillId="0" borderId="1" applyAlignment="1" pivotButton="0" quotePrefix="0" xfId="0">
      <alignment horizontal="left"/>
    </xf>
    <xf numFmtId="0" fontId="15" fillId="0" borderId="1" applyAlignment="1" pivotButton="0" quotePrefix="0" xfId="0">
      <alignment horizontal="left"/>
    </xf>
    <xf numFmtId="164" fontId="13" fillId="0" borderId="1" applyAlignment="1" pivotButton="0" quotePrefix="0" xfId="0">
      <alignment horizontal="center"/>
    </xf>
    <xf numFmtId="164" fontId="16" fillId="0" borderId="1" applyAlignment="1" pivotButton="0" quotePrefix="0" xfId="0">
      <alignment horizontal="right"/>
    </xf>
    <xf numFmtId="0" fontId="14" fillId="0" borderId="1" applyAlignment="1" pivotButton="0" quotePrefix="0" xfId="0">
      <alignment horizontal="right"/>
    </xf>
    <xf numFmtId="3" fontId="17" fillId="2" borderId="2" applyAlignment="1" pivotButton="0" quotePrefix="0" xfId="0">
      <alignment horizontal="left"/>
    </xf>
    <xf numFmtId="0" fontId="18" fillId="2" borderId="2" applyAlignment="1" pivotButton="0" quotePrefix="0" xfId="0">
      <alignment horizontal="left"/>
    </xf>
    <xf numFmtId="164" fontId="19" fillId="0" borderId="1" applyAlignment="1" pivotButton="0" quotePrefix="0" xfId="0">
      <alignment horizontal="left"/>
    </xf>
    <xf numFmtId="0" fontId="19" fillId="0" borderId="1" applyAlignment="1" pivotButton="0" quotePrefix="0" xfId="0">
      <alignment horizontal="right"/>
    </xf>
    <xf numFmtId="0" fontId="8" fillId="0" borderId="1" applyAlignment="1" pivotButton="0" quotePrefix="0" xfId="0">
      <alignment horizontal="left"/>
    </xf>
    <xf numFmtId="0" fontId="19" fillId="0" borderId="1" applyAlignment="1" pivotButton="0" quotePrefix="0" xfId="0">
      <alignment horizontal="left"/>
    </xf>
    <xf numFmtId="0" fontId="20" fillId="2" borderId="2" applyAlignment="1" pivotButton="0" quotePrefix="0" xfId="0">
      <alignment horizontal="left"/>
    </xf>
    <xf numFmtId="3" fontId="21" fillId="2" borderId="2" applyAlignment="1" pivotButton="0" quotePrefix="0" xfId="0">
      <alignment horizontal="left"/>
    </xf>
    <xf numFmtId="0" fontId="21" fillId="2" borderId="2" applyAlignment="1" pivotButton="0" quotePrefix="0" xfId="0">
      <alignment horizontal="left"/>
    </xf>
    <xf numFmtId="0" fontId="21" fillId="0" borderId="1" applyAlignment="1" pivotButton="0" quotePrefix="0" xfId="0">
      <alignment horizontal="left"/>
    </xf>
    <xf numFmtId="3" fontId="8" fillId="0" borderId="1" applyAlignment="1" pivotButton="0" quotePrefix="0" xfId="0">
      <alignment horizontal="left"/>
    </xf>
    <xf numFmtId="0" fontId="14" fillId="0" borderId="1" applyAlignment="1" pivotButton="0" quotePrefix="0" xfId="0">
      <alignment horizontal="left"/>
    </xf>
    <xf numFmtId="3" fontId="22" fillId="2" borderId="2" applyAlignment="1" pivotButton="0" quotePrefix="0" xfId="0">
      <alignment horizontal="left"/>
    </xf>
    <xf numFmtId="3" fontId="21" fillId="0" borderId="1" applyAlignment="1" pivotButton="0" quotePrefix="0" xfId="0">
      <alignment horizontal="left"/>
    </xf>
    <xf numFmtId="3" fontId="14" fillId="0" borderId="1" applyAlignment="1" pivotButton="0" quotePrefix="0" xfId="0">
      <alignment horizontal="left"/>
    </xf>
    <xf numFmtId="3" fontId="23" fillId="2" borderId="3" applyAlignment="1" pivotButton="0" quotePrefix="0" xfId="0">
      <alignment horizontal="left"/>
    </xf>
    <xf numFmtId="0" fontId="24" fillId="0" borderId="4" applyAlignment="1" pivotButton="0" quotePrefix="0" xfId="0">
      <alignment horizontal="left"/>
    </xf>
    <xf numFmtId="3" fontId="24" fillId="0" borderId="4" applyAlignment="1" pivotButton="0" quotePrefix="0" xfId="0">
      <alignment horizontal="left"/>
    </xf>
    <xf numFmtId="0" fontId="25" fillId="0" borderId="5" applyAlignment="1" pivotButton="0" quotePrefix="0" xfId="0">
      <alignment horizontal="center" vertical="top"/>
    </xf>
    <xf numFmtId="0" fontId="24" fillId="0" borderId="6" applyAlignment="1" pivotButton="0" quotePrefix="0" xfId="0">
      <alignment horizontal="left"/>
    </xf>
    <xf numFmtId="3" fontId="26" fillId="0" borderId="7" applyAlignment="1" pivotButton="0" quotePrefix="0" xfId="0">
      <alignment horizontal="center" vertical="top"/>
    </xf>
    <xf numFmtId="3" fontId="24" fillId="0" borderId="8" applyAlignment="1" pivotButton="0" quotePrefix="0" xfId="0">
      <alignment horizontal="left"/>
    </xf>
    <xf numFmtId="3" fontId="26" fillId="0" borderId="1" applyAlignment="1" pivotButton="0" quotePrefix="0" xfId="0">
      <alignment horizontal="center"/>
    </xf>
    <xf numFmtId="0" fontId="24" fillId="0" borderId="9" applyAlignment="1" pivotButton="0" quotePrefix="0" xfId="0">
      <alignment horizontal="left"/>
    </xf>
    <xf numFmtId="3" fontId="24" fillId="0" borderId="10" applyAlignment="1" pivotButton="0" quotePrefix="0" xfId="0">
      <alignment horizontal="left"/>
    </xf>
    <xf numFmtId="0" fontId="24" fillId="0" borderId="11" applyAlignment="1" pivotButton="0" quotePrefix="0" xfId="0">
      <alignment horizontal="left"/>
    </xf>
    <xf numFmtId="3" fontId="24" fillId="0" borderId="12" applyAlignment="1" pivotButton="0" quotePrefix="0" xfId="0">
      <alignment horizontal="left"/>
    </xf>
    <xf numFmtId="3" fontId="27" fillId="3" borderId="13" applyAlignment="1" pivotButton="0" quotePrefix="0" xfId="0">
      <alignment horizontal="center" vertical="top" wrapText="1"/>
    </xf>
    <xf numFmtId="0" fontId="27" fillId="3" borderId="13" applyAlignment="1" pivotButton="0" quotePrefix="0" xfId="0">
      <alignment horizontal="center" vertical="top" wrapText="1"/>
    </xf>
    <xf numFmtId="0" fontId="28" fillId="3" borderId="13" applyAlignment="1" pivotButton="0" quotePrefix="0" xfId="0">
      <alignment horizontal="center"/>
    </xf>
    <xf numFmtId="0" fontId="24" fillId="0" borderId="14" applyAlignment="1" pivotButton="0" quotePrefix="0" xfId="0">
      <alignment horizontal="left"/>
    </xf>
    <xf numFmtId="0" fontId="24" fillId="0" borderId="15" applyAlignment="1" pivotButton="0" quotePrefix="0" xfId="0">
      <alignment horizontal="left"/>
    </xf>
    <xf numFmtId="3" fontId="28" fillId="3" borderId="13" applyAlignment="1" pivotButton="0" quotePrefix="0" xfId="0">
      <alignment horizontal="center"/>
    </xf>
    <xf numFmtId="3" fontId="28" fillId="3" borderId="16" applyAlignment="1" pivotButton="0" quotePrefix="0" xfId="0">
      <alignment horizontal="center"/>
    </xf>
    <xf numFmtId="3" fontId="24" fillId="0" borderId="15" applyAlignment="1" pivotButton="0" quotePrefix="0" xfId="0">
      <alignment horizontal="left"/>
    </xf>
    <xf numFmtId="3" fontId="24" fillId="0" borderId="17" applyAlignment="1" pivotButton="0" quotePrefix="0" xfId="0">
      <alignment horizontal="left"/>
    </xf>
    <xf numFmtId="0" fontId="24" fillId="0" borderId="17" applyAlignment="1" pivotButton="0" quotePrefix="0" xfId="0">
      <alignment horizontal="left"/>
    </xf>
    <xf numFmtId="0" fontId="29" fillId="3" borderId="18" applyAlignment="1" pivotButton="0" quotePrefix="0" xfId="0">
      <alignment horizontal="center" wrapText="1"/>
    </xf>
    <xf numFmtId="0" fontId="7" fillId="3" borderId="19" applyAlignment="1" pivotButton="0" quotePrefix="0" xfId="0">
      <alignment horizontal="left"/>
    </xf>
    <xf numFmtId="3" fontId="7" fillId="0" borderId="13" applyAlignment="1" pivotButton="0" quotePrefix="0" xfId="0">
      <alignment horizontal="center" wrapText="1"/>
    </xf>
    <xf numFmtId="0" fontId="30" fillId="0" borderId="13" applyAlignment="1" pivotButton="0" quotePrefix="0" xfId="0">
      <alignment horizontal="center" wrapText="1"/>
    </xf>
    <xf numFmtId="0" fontId="31" fillId="0" borderId="13" applyAlignment="1" pivotButton="0" quotePrefix="0" xfId="0">
      <alignment horizontal="center" wrapText="1"/>
    </xf>
    <xf numFmtId="0" fontId="32" fillId="0" borderId="13" applyAlignment="1" pivotButton="0" quotePrefix="0" xfId="0">
      <alignment horizontal="left" wrapText="1"/>
    </xf>
    <xf numFmtId="0" fontId="33" fillId="0" borderId="13" applyAlignment="1" pivotButton="0" quotePrefix="0" xfId="0">
      <alignment horizontal="left" wrapText="1"/>
    </xf>
    <xf numFmtId="3" fontId="34" fillId="0" borderId="13" applyAlignment="1" pivotButton="0" quotePrefix="0" xfId="0">
      <alignment horizontal="right"/>
    </xf>
    <xf numFmtId="0" fontId="35" fillId="0" borderId="15" applyAlignment="1" pivotButton="0" quotePrefix="0" xfId="0">
      <alignment horizontal="center"/>
    </xf>
    <xf numFmtId="3" fontId="8" fillId="0" borderId="13" applyAlignment="1" pivotButton="0" quotePrefix="0" xfId="0">
      <alignment horizontal="center"/>
    </xf>
    <xf numFmtId="0" fontId="22" fillId="0" borderId="13" applyAlignment="1" pivotButton="0" quotePrefix="0" xfId="0">
      <alignment horizontal="center"/>
    </xf>
    <xf numFmtId="3" fontId="22" fillId="0" borderId="13" applyAlignment="1" pivotButton="0" quotePrefix="0" xfId="0">
      <alignment horizontal="right"/>
    </xf>
    <xf numFmtId="0" fontId="32" fillId="0" borderId="20" applyAlignment="1" pivotButton="0" quotePrefix="0" xfId="0">
      <alignment horizontal="left" wrapText="1"/>
    </xf>
    <xf numFmtId="0" fontId="32" fillId="0" borderId="15" applyAlignment="1" pivotButton="0" quotePrefix="0" xfId="0">
      <alignment horizontal="left" wrapText="1"/>
    </xf>
    <xf numFmtId="4" fontId="35" fillId="0" borderId="15" applyAlignment="1" pivotButton="0" quotePrefix="0" xfId="0">
      <alignment horizontal="center"/>
    </xf>
    <xf numFmtId="3" fontId="22" fillId="0" borderId="13" applyAlignment="1" pivotButton="0" quotePrefix="0" xfId="0">
      <alignment horizontal="center"/>
    </xf>
    <xf numFmtId="0" fontId="36" fillId="0" borderId="13" applyAlignment="1" pivotButton="0" quotePrefix="0" xfId="0">
      <alignment horizontal="center" wrapText="1"/>
    </xf>
    <xf numFmtId="0" fontId="32" fillId="0" borderId="13" applyAlignment="1" pivotButton="0" quotePrefix="0" xfId="0">
      <alignment horizontal="center"/>
    </xf>
    <xf numFmtId="0" fontId="37" fillId="0" borderId="13" applyAlignment="1" pivotButton="0" quotePrefix="0" xfId="0">
      <alignment horizontal="left" wrapText="1"/>
    </xf>
    <xf numFmtId="0" fontId="8" fillId="0" borderId="13" applyAlignment="1" pivotButton="0" quotePrefix="0" xfId="0">
      <alignment horizontal="left" wrapText="1"/>
    </xf>
    <xf numFmtId="0" fontId="33" fillId="0" borderId="13" applyAlignment="1" pivotButton="0" quotePrefix="0" xfId="0">
      <alignment horizontal="center" wrapText="1"/>
    </xf>
    <xf numFmtId="0" fontId="32" fillId="0" borderId="13" applyAlignment="1" pivotButton="0" quotePrefix="0" xfId="0">
      <alignment horizontal="left"/>
    </xf>
    <xf numFmtId="0" fontId="7" fillId="3" borderId="2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3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38" fillId="0" borderId="1" applyAlignment="1" pivotButton="0" quotePrefix="0" xfId="0">
      <alignment horizontal="center"/>
    </xf>
    <xf numFmtId="0" fontId="39" fillId="0" borderId="1" applyAlignment="1" pivotButton="0" quotePrefix="0" xfId="0">
      <alignment horizontal="center"/>
    </xf>
    <xf numFmtId="0" fontId="40" fillId="3" borderId="18" applyAlignment="1" pivotButton="0" quotePrefix="0" xfId="0">
      <alignment horizontal="right"/>
    </xf>
    <xf numFmtId="3" fontId="24" fillId="0" borderId="21" applyAlignment="1" pivotButton="0" quotePrefix="0" xfId="0">
      <alignment horizontal="left"/>
    </xf>
    <xf numFmtId="0" fontId="22" fillId="0" borderId="17" applyAlignment="1" pivotButton="0" quotePrefix="0" xfId="0">
      <alignment horizontal="center"/>
    </xf>
    <xf numFmtId="3" fontId="22" fillId="0" borderId="17" applyAlignment="1" pivotButton="0" quotePrefix="0" xfId="0">
      <alignment horizontal="right"/>
    </xf>
    <xf numFmtId="0" fontId="41" fillId="0" borderId="1" applyAlignment="1" pivotButton="0" quotePrefix="0" xfId="0">
      <alignment horizontal="left" wrapText="1"/>
    </xf>
    <xf numFmtId="0" fontId="40" fillId="3" borderId="13" applyAlignment="1" pivotButton="0" quotePrefix="0" xfId="0">
      <alignment horizontal="right"/>
    </xf>
    <xf numFmtId="3" fontId="7" fillId="0" borderId="1" applyAlignment="1" pivotButton="0" quotePrefix="0" xfId="0">
      <alignment horizontal="center"/>
    </xf>
    <xf numFmtId="0" fontId="42" fillId="3" borderId="13" applyAlignment="1" pivotButton="0" quotePrefix="0" xfId="0">
      <alignment horizontal="right"/>
    </xf>
    <xf numFmtId="0" fontId="42" fillId="0" borderId="1" applyAlignment="1" pivotButton="0" quotePrefix="0" xfId="0">
      <alignment horizontal="right"/>
    </xf>
    <xf numFmtId="3" fontId="42" fillId="0" borderId="1" applyAlignment="1" pivotButton="0" quotePrefix="0" xfId="0">
      <alignment horizontal="right"/>
    </xf>
    <xf numFmtId="3" fontId="22" fillId="0" borderId="1" applyAlignment="1" pivotButton="0" quotePrefix="0" xfId="0">
      <alignment horizontal="center"/>
    </xf>
    <xf numFmtId="3" fontId="22" fillId="0" borderId="1" applyAlignment="1" pivotButton="0" quotePrefix="0" xfId="0">
      <alignment horizontal="right"/>
    </xf>
    <xf numFmtId="3" fontId="43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40" fillId="0" borderId="1" applyAlignment="1" pivotButton="0" quotePrefix="0" xfId="0">
      <alignment horizontal="center"/>
    </xf>
    <xf numFmtId="0" fontId="9" fillId="0" borderId="1" applyAlignment="1" pivotButton="0" quotePrefix="0" xfId="0">
      <alignment horizontal="center"/>
    </xf>
    <xf numFmtId="0" fontId="42" fillId="0" borderId="1" applyAlignment="1" pivotButton="0" quotePrefix="0" xfId="0">
      <alignment horizontal="center"/>
    </xf>
    <xf numFmtId="0" fontId="44" fillId="0" borderId="1" applyAlignment="1" pivotButton="0" quotePrefix="0" xfId="0">
      <alignment horizontal="left"/>
    </xf>
    <xf numFmtId="3" fontId="45" fillId="0" borderId="1" applyAlignment="1" pivotButton="0" quotePrefix="0" xfId="0">
      <alignment horizontal="center"/>
    </xf>
    <xf numFmtId="0" fontId="45" fillId="0" borderId="1" applyAlignment="1" pivotButton="0" quotePrefix="0" xfId="0">
      <alignment horizontal="center"/>
    </xf>
    <xf numFmtId="3" fontId="46" fillId="0" borderId="1" applyAlignment="1" pivotButton="0" quotePrefix="0" xfId="0">
      <alignment horizontal="center"/>
    </xf>
    <xf numFmtId="0" fontId="46" fillId="0" borderId="1" applyAlignment="1" pivotButton="0" quotePrefix="0" xfId="0">
      <alignment horizontal="center"/>
    </xf>
    <xf numFmtId="3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4" borderId="2" applyAlignment="1" pivotButton="0" quotePrefix="0" xfId="0">
      <alignment horizontal="left"/>
    </xf>
    <xf numFmtId="3" fontId="47" fillId="0" borderId="1" applyAlignment="1" pivotButton="0" quotePrefix="0" xfId="0">
      <alignment horizontal="center"/>
    </xf>
    <xf numFmtId="0" fontId="47" fillId="0" borderId="1" applyAlignment="1" pivotButton="0" quotePrefix="0" xfId="0">
      <alignment horizontal="center"/>
    </xf>
    <xf numFmtId="3" fontId="48" fillId="0" borderId="1" applyAlignment="1" pivotButton="0" quotePrefix="0" xfId="0">
      <alignment horizontal="left"/>
    </xf>
    <xf numFmtId="3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24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27" pivotButton="0" quotePrefix="0" xfId="0"/>
    <xf numFmtId="0" fontId="0" fillId="0" borderId="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4" pivotButton="0" quotePrefix="0" xfId="0"/>
    <xf numFmtId="0" fontId="0" fillId="0" borderId="12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7" pivotButton="0" quotePrefix="0" xfId="0"/>
    <xf numFmtId="0" fontId="0" fillId="0" borderId="1" applyAlignment="1" pivotButton="0" quotePrefix="0" xfId="0">
      <alignment horizontal="general"/>
    </xf>
    <xf numFmtId="0" fontId="0" fillId="0" borderId="33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Q135"/>
  <sheetViews>
    <sheetView tabSelected="1" workbookViewId="0">
      <selection activeCell="A1" sqref="A1"/>
    </sheetView>
  </sheetViews>
  <sheetFormatPr baseColWidth="8" defaultRowHeight="15"/>
  <cols>
    <col width="4.290714285714285" bestFit="1" customWidth="1" style="124" min="1" max="1"/>
    <col width="12.57642857142857" bestFit="1" customWidth="1" style="125" min="2" max="2"/>
    <col width="12.86214285714286" bestFit="1" customWidth="1" style="125" min="3" max="3"/>
    <col width="28.14785714285714" bestFit="1" customWidth="1" style="125" min="4" max="4"/>
    <col width="22.14785714285714" bestFit="1" customWidth="1" style="125" min="5" max="5"/>
    <col width="8.576428571428572" bestFit="1" customWidth="1" style="125" min="6" max="6"/>
    <col width="9.862142857142858" bestFit="1" customWidth="1" style="125" min="7" max="7"/>
    <col width="5.147857142857143" bestFit="1" customWidth="1" style="124" min="8" max="8"/>
    <col width="4.719285714285714" bestFit="1" customWidth="1" style="125" min="9" max="9"/>
    <col width="11.86214285714286" bestFit="1" customWidth="1" style="126" min="10" max="10"/>
    <col width="5.719285714285714" bestFit="1" customWidth="1" style="127" min="11" max="11"/>
    <col width="16.14785714285714" bestFit="1" customWidth="1" style="124" min="12" max="12"/>
    <col width="10.57642857142857" bestFit="1" customWidth="1" style="125" min="13" max="13"/>
    <col width="3.147857142857143" bestFit="1" customWidth="1" style="125" min="14" max="14"/>
    <col width="5.290714285714285" bestFit="1" customWidth="1" style="125" min="15" max="15"/>
    <col width="4.576428571428571" bestFit="1" customWidth="1" style="125" min="16" max="16"/>
    <col width="10.57642857142857" bestFit="1" customWidth="1" style="125" min="17" max="17"/>
  </cols>
  <sheetData>
    <row r="1" ht="61.5" customHeight="1">
      <c r="A1" s="1" t="inlineStr">
        <is>
          <t>PURCHASE ORDER</t>
        </is>
      </c>
      <c r="M1" s="2" t="n"/>
      <c r="N1" s="2" t="n"/>
      <c r="O1" s="125" t="n"/>
      <c r="P1" s="125" t="n"/>
      <c r="Q1" s="125" t="n"/>
    </row>
    <row r="2" ht="42" customHeight="1">
      <c r="A2" s="7" t="inlineStr">
        <is>
          <t>CELEBRITY SOLSTICE［TOKYO BAY］</t>
        </is>
      </c>
      <c r="B2" s="128" t="n"/>
      <c r="C2" s="128" t="n"/>
      <c r="D2" s="128" t="n"/>
      <c r="E2" s="128" t="n"/>
      <c r="F2" s="128" t="n"/>
      <c r="G2" s="128" t="n"/>
      <c r="H2" s="128" t="n"/>
      <c r="I2" s="128" t="n"/>
      <c r="J2" s="128" t="n"/>
      <c r="K2" s="128" t="n"/>
      <c r="L2" s="129" t="n"/>
      <c r="M2" s="125" t="n"/>
      <c r="N2" s="125" t="n"/>
      <c r="O2" s="125" t="n"/>
      <c r="P2" s="125" t="n"/>
      <c r="Q2" s="125" t="n"/>
    </row>
    <row r="3" ht="36" customHeight="1">
      <c r="A3" s="8" t="n"/>
      <c r="B3" s="9" t="n"/>
      <c r="C3" s="9" t="n"/>
      <c r="D3" s="9" t="n"/>
      <c r="E3" s="9" t="n"/>
      <c r="F3" s="9" t="n"/>
      <c r="G3" s="9" t="n"/>
      <c r="H3" s="8" t="n"/>
      <c r="I3" s="9" t="n"/>
      <c r="J3" s="8" t="n"/>
      <c r="K3" s="9" t="n"/>
      <c r="L3" s="8" t="n"/>
      <c r="M3" s="125" t="n"/>
      <c r="N3" s="125" t="n"/>
      <c r="O3" s="125" t="n"/>
      <c r="P3" s="125" t="n"/>
      <c r="Q3" s="125" t="n"/>
    </row>
    <row r="4" ht="30" customHeight="1">
      <c r="A4" s="10" t="inlineStr">
        <is>
          <t>株式会社テスト食品</t>
        </is>
      </c>
      <c r="B4" s="11" t="n"/>
      <c r="C4" s="12" t="n"/>
      <c r="D4" s="12" t="n"/>
      <c r="E4" s="12" t="n"/>
      <c r="F4" s="12" t="n"/>
      <c r="G4" s="12" t="n"/>
      <c r="H4" s="13" t="n"/>
      <c r="I4" s="12" t="n"/>
      <c r="J4" s="14" t="inlineStr">
        <is>
          <t>DATE：</t>
        </is>
      </c>
      <c r="K4" s="15" t="inlineStr">
        <is>
          <t>2026-03-21</t>
        </is>
      </c>
      <c r="L4" s="129" t="n"/>
      <c r="M4" s="125" t="n"/>
      <c r="N4" s="125" t="n"/>
      <c r="O4" s="125" t="n"/>
      <c r="P4" s="125" t="n"/>
      <c r="Q4" s="125" t="n"/>
    </row>
    <row r="5" ht="24" customHeight="1">
      <c r="A5" s="16" t="inlineStr">
        <is>
          <t>担当者：田中太郎</t>
        </is>
      </c>
      <c r="B5" s="17" t="n"/>
      <c r="C5" s="18" t="n"/>
      <c r="D5" s="18" t="n"/>
      <c r="E5" s="18" t="n"/>
      <c r="F5" s="18" t="n"/>
      <c r="G5" s="18" t="n"/>
      <c r="H5" s="19" t="n"/>
      <c r="J5" s="14" t="inlineStr">
        <is>
          <t>Invoice：</t>
        </is>
      </c>
      <c r="K5" s="20" t="inlineStr">
        <is>
          <t>20260321-01 SO</t>
        </is>
      </c>
      <c r="L5" s="21" t="n"/>
      <c r="M5" s="125" t="n"/>
      <c r="N5" s="125" t="n"/>
      <c r="O5" s="125" t="n"/>
      <c r="P5" s="125" t="n"/>
      <c r="Q5" s="125" t="n"/>
    </row>
    <row r="6" ht="24" customHeight="1">
      <c r="A6" s="16" t="inlineStr">
        <is>
          <t>東京都中央区築地6-21-2</t>
        </is>
      </c>
      <c r="B6" s="17" t="n"/>
      <c r="C6" s="22" t="n"/>
      <c r="D6" s="22" t="n"/>
      <c r="E6" s="22" t="n"/>
      <c r="F6" s="22" t="n"/>
      <c r="G6" s="22" t="n"/>
      <c r="H6" s="13" t="n"/>
      <c r="I6" s="12" t="n"/>
      <c r="J6" s="23" t="inlineStr">
        <is>
          <t>Voyage：</t>
        </is>
      </c>
      <c r="K6" s="24" t="inlineStr">
        <is>
          <t>SO-1234</t>
        </is>
      </c>
      <c r="L6" s="129" t="n"/>
      <c r="M6" s="125" t="n"/>
      <c r="N6" s="125" t="n"/>
      <c r="O6" s="125" t="n"/>
      <c r="P6" s="125" t="n"/>
      <c r="Q6" s="125" t="n"/>
    </row>
    <row r="7" ht="18.75" customHeight="1">
      <c r="A7" s="25" t="inlineStr">
        <is>
          <t>TEL:03-1234-5678</t>
        </is>
      </c>
      <c r="B7" s="26" t="n"/>
      <c r="C7" s="22" t="n"/>
      <c r="D7" s="22" t="n"/>
      <c r="E7" s="22" t="n"/>
      <c r="F7" s="22" t="n"/>
      <c r="G7" s="22" t="n"/>
      <c r="H7" s="27" t="n"/>
      <c r="J7" s="28" t="n"/>
      <c r="M7" s="125" t="n"/>
      <c r="N7" s="125" t="n"/>
      <c r="O7" s="125" t="n"/>
      <c r="P7" s="125" t="n"/>
      <c r="Q7" s="125" t="n"/>
    </row>
    <row r="8" ht="24" customHeight="1">
      <c r="A8" s="25" t="inlineStr">
        <is>
          <t>E-mail:test@testfoods.co.jp</t>
        </is>
      </c>
      <c r="B8" s="26" t="n"/>
      <c r="C8" s="22" t="n"/>
      <c r="D8" s="22" t="n"/>
      <c r="E8" s="22" t="n"/>
      <c r="F8" s="29" t="inlineStr">
        <is>
          <t>Delivery Date:</t>
        </is>
      </c>
      <c r="H8" s="30" t="inlineStr">
        <is>
          <t>2026-03-25</t>
        </is>
      </c>
      <c r="I8" s="128" t="n"/>
      <c r="J8" s="129" t="n"/>
      <c r="K8" s="31" t="inlineStr">
        <is>
          <t>[午前中]厳守</t>
        </is>
      </c>
      <c r="L8" s="32" t="n"/>
      <c r="M8" s="32" t="n"/>
      <c r="N8" s="125" t="n"/>
      <c r="O8" s="125" t="n"/>
      <c r="P8" s="125" t="n"/>
      <c r="Q8" s="125" t="n"/>
    </row>
    <row r="9" ht="24" customHeight="1">
      <c r="A9" s="13" t="n"/>
      <c r="B9" s="12" t="n"/>
      <c r="C9" s="12" t="n"/>
      <c r="D9" s="12" t="n"/>
      <c r="E9" s="12" t="n"/>
      <c r="F9" s="33" t="inlineStr">
        <is>
          <t>Delivery Address:</t>
        </is>
      </c>
      <c r="H9" s="21" t="inlineStr">
        <is>
          <t>東京都江東区有明3-1-1 東京ビッグサイト</t>
        </is>
      </c>
      <c r="I9" s="128" t="n"/>
      <c r="J9" s="128" t="n"/>
      <c r="K9" s="128" t="n"/>
      <c r="L9" s="129" t="n"/>
      <c r="M9" s="34" t="n"/>
      <c r="N9" s="125" t="n"/>
      <c r="O9" s="125" t="n"/>
      <c r="P9" s="125" t="n"/>
      <c r="Q9" s="125" t="n"/>
    </row>
    <row r="10" ht="24" customHeight="1">
      <c r="A10" s="13" t="n"/>
      <c r="B10" s="12" t="n"/>
      <c r="C10" s="12" t="n"/>
      <c r="D10" s="12" t="n"/>
      <c r="E10" s="12" t="n"/>
      <c r="F10" s="35" t="n"/>
      <c r="G10" s="35" t="n"/>
      <c r="H10" s="21" t="inlineStr">
        <is>
          <t>株式会社テスト倉庫</t>
        </is>
      </c>
      <c r="I10" s="36" t="n"/>
      <c r="J10" s="37" t="n"/>
      <c r="K10" s="38" t="n"/>
      <c r="L10" s="37" t="n"/>
      <c r="M10" s="39" t="n"/>
      <c r="N10" s="125" t="n"/>
      <c r="O10" s="125" t="n"/>
      <c r="P10" s="125" t="n"/>
      <c r="Q10" s="125" t="n"/>
    </row>
    <row r="11" ht="24" customHeight="1">
      <c r="A11" s="13" t="n"/>
      <c r="B11" s="12" t="n"/>
      <c r="C11" s="12" t="n"/>
      <c r="D11" s="12" t="n"/>
      <c r="E11" s="12" t="n"/>
      <c r="F11" s="35" t="n"/>
      <c r="G11" s="35" t="n"/>
      <c r="H11" s="40" t="inlineStr">
        <is>
          <t>担当：Ms.佐藤　090-0000-0000</t>
        </is>
      </c>
      <c r="I11" s="36" t="n"/>
      <c r="J11" s="37" t="n"/>
      <c r="K11" s="38" t="n"/>
      <c r="L11" s="37" t="n"/>
      <c r="M11" s="39" t="n"/>
      <c r="N11" s="125" t="n"/>
      <c r="O11" s="125" t="n"/>
      <c r="P11" s="125" t="n"/>
      <c r="Q11" s="125" t="n"/>
    </row>
    <row r="12" ht="24" customHeight="1">
      <c r="A12" s="13" t="n"/>
      <c r="B12" s="12" t="n"/>
      <c r="C12" s="12" t="n"/>
      <c r="D12" s="12" t="n"/>
      <c r="E12" s="12" t="n"/>
      <c r="F12" s="41" t="n"/>
      <c r="G12" s="41" t="n"/>
      <c r="H12" s="40" t="n"/>
      <c r="I12" s="36" t="inlineStr">
        <is>
          <t>船名【CELEBRITY SOLSTICE】</t>
        </is>
      </c>
      <c r="J12" s="42" t="n"/>
      <c r="K12" s="24" t="n"/>
      <c r="L12" s="42" t="n"/>
      <c r="M12" s="39" t="n"/>
      <c r="N12" s="125" t="n"/>
      <c r="O12" s="125" t="n"/>
      <c r="P12" s="125" t="n"/>
      <c r="Q12" s="125" t="n"/>
    </row>
    <row r="13" ht="30" customHeight="1">
      <c r="A13" s="10" t="inlineStr">
        <is>
          <t>株式会社メリットトレーディング</t>
        </is>
      </c>
      <c r="B13" s="11" t="n"/>
      <c r="C13" s="12" t="n"/>
      <c r="D13" s="12" t="n"/>
      <c r="E13" s="12" t="n"/>
      <c r="F13" s="34" t="inlineStr">
        <is>
          <t>Payment Date:</t>
        </is>
      </c>
      <c r="G13" s="34" t="n"/>
      <c r="H13" s="21" t="inlineStr">
        <is>
          <t>前振り込み</t>
        </is>
      </c>
      <c r="I13" s="128" t="n"/>
      <c r="J13" s="129" t="n"/>
      <c r="K13" s="39" t="n"/>
      <c r="L13" s="43" t="n"/>
      <c r="M13" s="39" t="n"/>
      <c r="N13" s="125" t="n"/>
      <c r="O13" s="125" t="n"/>
      <c r="P13" s="125" t="n"/>
      <c r="Q13" s="125" t="n"/>
    </row>
    <row r="14" ht="24" customHeight="1">
      <c r="A14" s="13" t="inlineStr">
        <is>
          <t>〒900-0003</t>
        </is>
      </c>
      <c r="B14" s="12" t="n"/>
      <c r="C14" s="12" t="n"/>
      <c r="D14" s="12" t="n"/>
      <c r="E14" s="12" t="n"/>
      <c r="F14" s="34" t="inlineStr">
        <is>
          <t>Payment Method:</t>
        </is>
      </c>
      <c r="G14" s="34" t="n"/>
      <c r="H14" s="21" t="inlineStr">
        <is>
          <t>口座振り込み</t>
        </is>
      </c>
      <c r="I14" s="15" t="n"/>
      <c r="J14" s="21" t="n"/>
      <c r="K14" s="34" t="n"/>
      <c r="L14" s="44" t="n"/>
      <c r="M14" s="34" t="n"/>
      <c r="N14" s="125" t="n"/>
      <c r="O14" s="125" t="n"/>
      <c r="P14" s="125" t="n"/>
      <c r="Q14" s="125" t="n"/>
    </row>
    <row r="15" ht="24" customHeight="1">
      <c r="A15" s="13" t="inlineStr">
        <is>
          <t>沖縄県那覇市安謝1-2-21 アーバンウエスト秋桜201</t>
        </is>
      </c>
      <c r="B15" s="12" t="n"/>
      <c r="C15" s="12" t="n"/>
      <c r="D15" s="12" t="n"/>
      <c r="E15" s="12" t="n"/>
      <c r="F15" s="34" t="inlineStr">
        <is>
          <t>担当者及び連絡先：</t>
        </is>
      </c>
      <c r="G15" s="34" t="n"/>
      <c r="H15" s="45" t="inlineStr">
        <is>
          <t>邢　080-4311-1145</t>
        </is>
      </c>
      <c r="I15" s="130" t="n"/>
      <c r="J15" s="131" t="n"/>
      <c r="K15" s="34" t="n"/>
      <c r="L15" s="40" t="n"/>
      <c r="M15" s="34" t="n"/>
      <c r="N15" s="125" t="n"/>
      <c r="O15" s="125" t="n"/>
      <c r="P15" s="125" t="n"/>
      <c r="Q15" s="125" t="n"/>
    </row>
    <row r="16" ht="30.75" customHeight="1">
      <c r="A16" s="25" t="inlineStr">
        <is>
          <t>TEL:098-917-2295</t>
        </is>
      </c>
      <c r="B16" s="26" t="n"/>
      <c r="C16" s="12" t="n"/>
      <c r="D16" s="12" t="n"/>
      <c r="E16" s="12" t="n"/>
      <c r="F16" s="48" t="inlineStr">
        <is>
          <t>TOTAL:</t>
        </is>
      </c>
      <c r="G16" s="132" t="n"/>
      <c r="H16" s="50">
        <f>L124</f>
        <v/>
      </c>
      <c r="I16" s="132" t="n"/>
      <c r="J16" s="133" t="n"/>
      <c r="K16" s="52" t="n"/>
      <c r="L16" s="13" t="n"/>
      <c r="M16" s="125" t="n"/>
      <c r="N16" s="125" t="n"/>
      <c r="O16" s="125" t="n"/>
      <c r="P16" s="125" t="n"/>
      <c r="Q16" s="125" t="n"/>
    </row>
    <row r="17" ht="30.75" customHeight="1">
      <c r="A17" s="25" t="inlineStr">
        <is>
          <t>FAX:098-917-2296</t>
        </is>
      </c>
      <c r="B17" s="26" t="n"/>
      <c r="C17" s="12" t="n"/>
      <c r="D17" s="12" t="n"/>
      <c r="E17" s="12" t="n"/>
      <c r="F17" s="134" t="n"/>
      <c r="J17" s="135" t="n"/>
      <c r="K17" s="52" t="n"/>
      <c r="L17" s="13" t="n"/>
      <c r="M17" s="125" t="n"/>
      <c r="N17" s="125" t="n"/>
      <c r="O17" s="125" t="n"/>
      <c r="P17" s="125" t="n"/>
      <c r="Q17" s="125" t="n"/>
    </row>
    <row r="18" ht="30.75" customHeight="1">
      <c r="A18" s="25" t="inlineStr">
        <is>
          <t>E-mail:cruise.merit@gmail.com</t>
        </is>
      </c>
      <c r="B18" s="26" t="n"/>
      <c r="C18" s="12" t="n"/>
      <c r="D18" s="12" t="n"/>
      <c r="E18" s="12" t="n"/>
      <c r="F18" s="136" t="n"/>
      <c r="G18" s="137" t="n"/>
      <c r="H18" s="137" t="n"/>
      <c r="I18" s="137" t="n"/>
      <c r="J18" s="138" t="n"/>
      <c r="K18" s="52" t="n"/>
      <c r="L18" s="13" t="n"/>
      <c r="M18" s="125" t="n"/>
      <c r="N18" s="125" t="n"/>
      <c r="O18" s="125" t="n"/>
      <c r="P18" s="125" t="n"/>
      <c r="Q18" s="125" t="n"/>
    </row>
    <row r="19" ht="19.5" customHeight="1">
      <c r="A19" s="13" t="n"/>
      <c r="B19" s="12" t="n"/>
      <c r="C19" s="12" t="n"/>
      <c r="D19" s="12" t="n"/>
      <c r="E19" s="12" t="n"/>
      <c r="F19" s="12" t="n"/>
      <c r="G19" s="12" t="n"/>
      <c r="H19" s="13" t="n"/>
      <c r="I19" s="12" t="n"/>
      <c r="J19" s="13" t="n"/>
      <c r="K19" s="12" t="n"/>
      <c r="L19" s="13" t="n"/>
      <c r="M19" s="125" t="n"/>
      <c r="N19" s="125" t="n"/>
      <c r="O19" s="125" t="n"/>
      <c r="P19" s="125" t="n"/>
      <c r="Q19" s="125" t="n"/>
    </row>
    <row r="20" ht="24.75" customHeight="1">
      <c r="A20" s="57" t="inlineStr">
        <is>
          <t>NO.</t>
        </is>
      </c>
      <c r="B20" s="58" t="inlineStr">
        <is>
          <t>PO No.</t>
        </is>
      </c>
      <c r="C20" s="59" t="inlineStr">
        <is>
          <t>Product（商品名）</t>
        </is>
      </c>
      <c r="D20" s="139" t="n"/>
      <c r="E20" s="140" t="n"/>
      <c r="F20" s="59" t="inlineStr">
        <is>
          <t>Description</t>
        </is>
      </c>
      <c r="G20" s="140" t="n"/>
      <c r="H20" s="62" t="inlineStr">
        <is>
          <t>Quantity</t>
        </is>
      </c>
      <c r="I20" s="140" t="n"/>
      <c r="J20" s="63" t="inlineStr">
        <is>
          <t>Unit price</t>
        </is>
      </c>
      <c r="K20" s="59" t="inlineStr">
        <is>
          <t>Amount(JPY)</t>
        </is>
      </c>
      <c r="L20" s="140" t="n"/>
      <c r="M20" s="125" t="n"/>
      <c r="N20" s="125" t="n"/>
      <c r="O20" s="125" t="n"/>
      <c r="P20" s="125" t="n"/>
      <c r="Q20" s="125" t="n"/>
    </row>
    <row r="21" ht="24" customHeight="1">
      <c r="A21" s="141" t="n"/>
      <c r="B21" s="141" t="n"/>
      <c r="C21" s="67" t="inlineStr">
        <is>
          <t>商品コード</t>
        </is>
      </c>
      <c r="D21" s="59" t="inlineStr">
        <is>
          <t>英語表記</t>
        </is>
      </c>
      <c r="E21" s="59" t="inlineStr">
        <is>
          <t>日本語表記</t>
        </is>
      </c>
      <c r="F21" s="59" t="inlineStr">
        <is>
          <t>（詳細）</t>
        </is>
      </c>
      <c r="G21" s="140" t="n"/>
      <c r="H21" s="62" t="inlineStr">
        <is>
          <t>(数量)</t>
        </is>
      </c>
      <c r="I21" s="140" t="n"/>
      <c r="J21" s="63" t="inlineStr">
        <is>
          <t>(単価）</t>
        </is>
      </c>
      <c r="K21" s="59" t="inlineStr">
        <is>
          <t>(合計)</t>
        </is>
      </c>
      <c r="L21" s="140" t="n"/>
      <c r="M21" s="68" t="n"/>
      <c r="N21" s="125" t="n"/>
      <c r="O21" s="125" t="n"/>
      <c r="P21" s="125" t="n"/>
      <c r="Q21" s="125" t="n"/>
    </row>
    <row r="22" ht="44.25" customHeight="1">
      <c r="A22" s="69" t="n">
        <v>1</v>
      </c>
      <c r="B22" s="70" t="inlineStr">
        <is>
          <t>PO20260321</t>
        </is>
      </c>
      <c r="C22" s="71" t="inlineStr">
        <is>
          <t>99PRD010000</t>
        </is>
      </c>
      <c r="D22" s="72" t="inlineStr">
        <is>
          <t>APPLE FUJI LARGE</t>
        </is>
      </c>
      <c r="E22" s="73" t="inlineStr">
        <is>
          <t>ふじりんご 大</t>
        </is>
      </c>
      <c r="F22" s="72" t="inlineStr">
        <is>
          <t>6CT/10KG</t>
        </is>
      </c>
      <c r="G22" s="140" t="n"/>
      <c r="H22" s="74" t="n">
        <v>100</v>
      </c>
      <c r="I22" s="75" t="inlineStr">
        <is>
          <t>CT</t>
        </is>
      </c>
      <c r="J22" s="76" t="n">
        <v>3848</v>
      </c>
      <c r="K22" s="77" t="inlineStr">
        <is>
          <t>JPY</t>
        </is>
      </c>
      <c r="L22" s="78">
        <f>H22*J22</f>
        <v/>
      </c>
      <c r="M22" s="125" t="n"/>
      <c r="N22" s="125" t="n"/>
      <c r="O22" s="125" t="n"/>
      <c r="P22" s="125" t="n"/>
      <c r="Q22" s="125" t="n"/>
    </row>
    <row r="23" ht="39" customHeight="1">
      <c r="A23" s="69" t="n">
        <v>2</v>
      </c>
      <c r="B23" s="70" t="inlineStr">
        <is>
          <t>PO20260321</t>
        </is>
      </c>
      <c r="C23" s="71" t="inlineStr">
        <is>
          <t>99PRD010111</t>
        </is>
      </c>
      <c r="D23" s="72" t="inlineStr">
        <is>
          <t>APPLE GRANNY SMITH</t>
        </is>
      </c>
      <c r="E23" s="73" t="inlineStr">
        <is>
          <t>青りんご</t>
        </is>
      </c>
      <c r="F23" s="79" t="inlineStr">
        <is>
          <t>CT/12KG</t>
        </is>
      </c>
      <c r="G23" s="80" t="n"/>
      <c r="H23" s="74" t="n">
        <v>5</v>
      </c>
      <c r="I23" s="75" t="inlineStr">
        <is>
          <t>CT</t>
        </is>
      </c>
      <c r="J23" s="76" t="n">
        <v>24499</v>
      </c>
      <c r="K23" s="77" t="inlineStr">
        <is>
          <t>JPY</t>
        </is>
      </c>
      <c r="L23" s="78">
        <f>H23*J23</f>
        <v/>
      </c>
      <c r="M23" s="125" t="n"/>
      <c r="N23" s="125" t="n"/>
      <c r="O23" s="125" t="n"/>
      <c r="P23" s="125" t="n"/>
      <c r="Q23" s="125" t="n"/>
    </row>
    <row r="24" ht="39" customHeight="1">
      <c r="A24" s="69" t="n">
        <v>3</v>
      </c>
      <c r="B24" s="70" t="inlineStr">
        <is>
          <t>PO20260321</t>
        </is>
      </c>
      <c r="C24" s="71" t="inlineStr">
        <is>
          <t>99PRD010222</t>
        </is>
      </c>
      <c r="D24" s="72" t="inlineStr">
        <is>
          <t>ASPARAGUS GREEN FRESH</t>
        </is>
      </c>
      <c r="E24" s="73" t="inlineStr">
        <is>
          <t>グリーンアスパラガス</t>
        </is>
      </c>
      <c r="F24" s="79" t="inlineStr">
        <is>
          <t>5KG</t>
        </is>
      </c>
      <c r="G24" s="80" t="n"/>
      <c r="H24" s="74" t="n">
        <v>25</v>
      </c>
      <c r="I24" s="75" t="inlineStr">
        <is>
          <t>CT</t>
        </is>
      </c>
      <c r="J24" s="76" t="n">
        <v>8224</v>
      </c>
      <c r="K24" s="77" t="inlineStr">
        <is>
          <t>JPY</t>
        </is>
      </c>
      <c r="L24" s="78">
        <f>H24*J24</f>
        <v/>
      </c>
      <c r="M24" s="125" t="n"/>
      <c r="N24" s="125" t="n"/>
      <c r="O24" s="125" t="n"/>
      <c r="P24" s="125" t="n"/>
      <c r="Q24" s="125" t="n"/>
    </row>
    <row r="25" ht="39" customHeight="1">
      <c r="A25" s="69" t="n">
        <v>4</v>
      </c>
      <c r="B25" s="70" t="inlineStr">
        <is>
          <t>PO20260321</t>
        </is>
      </c>
      <c r="C25" s="71" t="inlineStr">
        <is>
          <t>99PRD010333</t>
        </is>
      </c>
      <c r="D25" s="72" t="inlineStr">
        <is>
          <t>AVOCADO HASS RIPE</t>
        </is>
      </c>
      <c r="E25" s="73" t="inlineStr">
        <is>
          <t>アボカド（熟）</t>
        </is>
      </c>
      <c r="F25" s="79" t="inlineStr">
        <is>
          <t>CT/4KG</t>
        </is>
      </c>
      <c r="G25" s="80" t="n"/>
      <c r="H25" s="74" t="n">
        <v>20</v>
      </c>
      <c r="I25" s="75" t="inlineStr">
        <is>
          <t>CT</t>
        </is>
      </c>
      <c r="J25" s="76" t="n">
        <v>4772</v>
      </c>
      <c r="K25" s="77" t="inlineStr">
        <is>
          <t>JPY</t>
        </is>
      </c>
      <c r="L25" s="78">
        <f>H25*J25</f>
        <v/>
      </c>
      <c r="M25" s="125" t="n"/>
      <c r="N25" s="125" t="n"/>
      <c r="O25" s="125" t="n"/>
      <c r="P25" s="125" t="n"/>
      <c r="Q25" s="125" t="n"/>
    </row>
    <row r="26" ht="39" customHeight="1">
      <c r="A26" s="69" t="n">
        <v>5</v>
      </c>
      <c r="B26" s="70" t="inlineStr">
        <is>
          <t>PO20260321</t>
        </is>
      </c>
      <c r="C26" s="71" t="inlineStr">
        <is>
          <t>99PRD010444</t>
        </is>
      </c>
      <c r="D26" s="72" t="inlineStr">
        <is>
          <t>BACON SMOKED SLICED</t>
        </is>
      </c>
      <c r="E26" s="73" t="inlineStr">
        <is>
          <t>ベーコン スライス</t>
        </is>
      </c>
      <c r="F26" s="79" t="inlineStr">
        <is>
          <t>1KG/PKT</t>
        </is>
      </c>
      <c r="G26" s="80" t="n"/>
      <c r="H26" s="74" t="n">
        <v>150</v>
      </c>
      <c r="I26" s="75" t="inlineStr">
        <is>
          <t>CT</t>
        </is>
      </c>
      <c r="J26" s="76" t="n">
        <v>3558</v>
      </c>
      <c r="K26" s="77" t="inlineStr">
        <is>
          <t>JPY</t>
        </is>
      </c>
      <c r="L26" s="78">
        <f>H26*J26</f>
        <v/>
      </c>
      <c r="M26" s="125" t="n"/>
      <c r="N26" s="125" t="n"/>
      <c r="O26" s="125" t="n"/>
      <c r="P26" s="125" t="n"/>
      <c r="Q26" s="125" t="n"/>
    </row>
    <row r="27" ht="44.25" customHeight="1">
      <c r="A27" s="69" t="n">
        <v>6</v>
      </c>
      <c r="B27" s="70" t="inlineStr">
        <is>
          <t>PO20260321</t>
        </is>
      </c>
      <c r="C27" s="71" t="inlineStr">
        <is>
          <t>99PRD010555</t>
        </is>
      </c>
      <c r="D27" s="72" t="inlineStr">
        <is>
          <t>BANANA CAVENDISH</t>
        </is>
      </c>
      <c r="E27" s="73" t="inlineStr">
        <is>
          <t>バナナ</t>
        </is>
      </c>
      <c r="F27" s="79" t="inlineStr">
        <is>
          <t>CT/13KG</t>
        </is>
      </c>
      <c r="G27" s="80" t="n"/>
      <c r="H27" s="74" t="n">
        <v>100</v>
      </c>
      <c r="I27" s="75" t="inlineStr">
        <is>
          <t>CT</t>
        </is>
      </c>
      <c r="J27" s="76" t="n">
        <v>24470</v>
      </c>
      <c r="K27" s="77" t="inlineStr">
        <is>
          <t>JPY</t>
        </is>
      </c>
      <c r="L27" s="78">
        <f>H27*J27</f>
        <v/>
      </c>
      <c r="M27" s="125" t="n"/>
      <c r="N27" s="125" t="n"/>
      <c r="O27" s="125" t="n"/>
      <c r="P27" s="125" t="n"/>
      <c r="Q27" s="125" t="n"/>
    </row>
    <row r="28" ht="46.5" customHeight="1">
      <c r="A28" s="69" t="n">
        <v>7</v>
      </c>
      <c r="B28" s="70" t="inlineStr">
        <is>
          <t>PO20260321</t>
        </is>
      </c>
      <c r="C28" s="71" t="inlineStr">
        <is>
          <t>99PRD010666</t>
        </is>
      </c>
      <c r="D28" s="72" t="inlineStr">
        <is>
          <t>BASIL FRESH ITALIAN</t>
        </is>
      </c>
      <c r="E28" s="73" t="inlineStr">
        <is>
          <t>バジル フレッシュ</t>
        </is>
      </c>
      <c r="F28" s="79" t="inlineStr">
        <is>
          <t>100G/PKT</t>
        </is>
      </c>
      <c r="G28" s="80" t="n"/>
      <c r="H28" s="74" t="n">
        <v>500</v>
      </c>
      <c r="I28" s="81" t="inlineStr">
        <is>
          <t>CT</t>
        </is>
      </c>
      <c r="J28" s="76" t="n">
        <v>18070</v>
      </c>
      <c r="K28" s="82" t="inlineStr">
        <is>
          <t>JPY</t>
        </is>
      </c>
      <c r="L28" s="78">
        <f>H28*J28</f>
        <v/>
      </c>
      <c r="M28" s="125" t="n"/>
      <c r="N28" s="125" t="n"/>
      <c r="O28" s="125" t="n"/>
      <c r="P28" s="125" t="n"/>
      <c r="Q28" s="125" t="n"/>
    </row>
    <row r="29" ht="46.5" customHeight="1">
      <c r="A29" s="69" t="n">
        <v>8</v>
      </c>
      <c r="B29" s="70" t="inlineStr">
        <is>
          <t>PO20260321</t>
        </is>
      </c>
      <c r="C29" s="71" t="inlineStr">
        <is>
          <t>99PRD010777</t>
        </is>
      </c>
      <c r="D29" s="72" t="inlineStr">
        <is>
          <t>BEAN SPROUTS FRESH</t>
        </is>
      </c>
      <c r="E29" s="73" t="inlineStr">
        <is>
          <t>もやし</t>
        </is>
      </c>
      <c r="F29" s="79" t="inlineStr">
        <is>
          <t>500G/BAG</t>
        </is>
      </c>
      <c r="G29" s="80" t="n"/>
      <c r="H29" s="74" t="n">
        <v>10</v>
      </c>
      <c r="I29" s="81" t="inlineStr">
        <is>
          <t>CT</t>
        </is>
      </c>
      <c r="J29" s="76" t="n">
        <v>19549</v>
      </c>
      <c r="K29" s="82" t="inlineStr">
        <is>
          <t>JPY</t>
        </is>
      </c>
      <c r="L29" s="78">
        <f>H29*J29</f>
        <v/>
      </c>
      <c r="M29" s="125" t="n"/>
      <c r="N29" s="125" t="n"/>
      <c r="O29" s="125" t="n"/>
      <c r="P29" s="125" t="n"/>
      <c r="Q29" s="125" t="n"/>
    </row>
    <row r="30" ht="46.5" customHeight="1">
      <c r="A30" s="69" t="n">
        <v>9</v>
      </c>
      <c r="B30" s="83" t="inlineStr">
        <is>
          <t>PO20260321</t>
        </is>
      </c>
      <c r="C30" s="84" t="inlineStr">
        <is>
          <t>99PRD010888</t>
        </is>
      </c>
      <c r="D30" s="85" t="inlineStr">
        <is>
          <t>BEEF CHUCK ROLL</t>
        </is>
      </c>
      <c r="E30" s="86" t="inlineStr">
        <is>
          <t>牛肩ロース</t>
        </is>
      </c>
      <c r="F30" s="72" t="inlineStr">
        <is>
          <t>5KG/BLK</t>
        </is>
      </c>
      <c r="G30" s="140" t="n"/>
      <c r="H30" s="74" t="n">
        <v>40</v>
      </c>
      <c r="I30" s="81" t="inlineStr">
        <is>
          <t>CT</t>
        </is>
      </c>
      <c r="J30" s="76" t="n">
        <v>1241</v>
      </c>
      <c r="K30" s="82" t="inlineStr">
        <is>
          <t>JPY</t>
        </is>
      </c>
      <c r="L30" s="78">
        <f>H30*J30</f>
        <v/>
      </c>
      <c r="M30" s="125" t="n"/>
      <c r="N30" s="125" t="n"/>
      <c r="O30" s="125" t="n"/>
      <c r="P30" s="125" t="n"/>
      <c r="Q30" s="125" t="n"/>
    </row>
    <row r="31" ht="46.5" customHeight="1">
      <c r="A31" s="69" t="n">
        <v>10</v>
      </c>
      <c r="B31" s="87" t="inlineStr">
        <is>
          <t>PO20260321</t>
        </is>
      </c>
      <c r="C31" s="84" t="inlineStr">
        <is>
          <t>99PRD010999</t>
        </is>
      </c>
      <c r="D31" s="88" t="inlineStr">
        <is>
          <t>BEEF RIB EYE WAGYU A5</t>
        </is>
      </c>
      <c r="E31" s="73" t="inlineStr">
        <is>
          <t>和牛リブアイ A5</t>
        </is>
      </c>
      <c r="F31" s="72" t="inlineStr">
        <is>
          <t>2KG/PC</t>
        </is>
      </c>
      <c r="G31" s="140" t="n"/>
      <c r="H31" s="74" t="n">
        <v>5</v>
      </c>
      <c r="I31" s="81" t="inlineStr">
        <is>
          <t>CT</t>
        </is>
      </c>
      <c r="J31" s="76" t="n">
        <v>3270</v>
      </c>
      <c r="K31" s="82" t="inlineStr">
        <is>
          <t>JPY</t>
        </is>
      </c>
      <c r="L31" s="78">
        <f>H31*J31</f>
        <v/>
      </c>
      <c r="M31" s="89" t="n"/>
      <c r="N31" s="125" t="n"/>
      <c r="O31" s="125" t="n"/>
      <c r="P31" s="125" t="n"/>
      <c r="Q31" s="125" t="n"/>
    </row>
    <row r="32" ht="46.5" customHeight="1">
      <c r="A32" s="69" t="n">
        <v>11</v>
      </c>
      <c r="B32" s="87" t="inlineStr">
        <is>
          <t>PO20260321</t>
        </is>
      </c>
      <c r="C32" s="84" t="inlineStr">
        <is>
          <t>99PRD011110</t>
        </is>
      </c>
      <c r="D32" s="85" t="inlineStr">
        <is>
          <t>BEEF TENDERLOIN WHOLE</t>
        </is>
      </c>
      <c r="E32" s="86" t="inlineStr">
        <is>
          <t>牛ヒレ肉</t>
        </is>
      </c>
      <c r="F32" s="72" t="inlineStr">
        <is>
          <t>2.5KG/PC</t>
        </is>
      </c>
      <c r="G32" s="140" t="n"/>
      <c r="H32" s="74" t="n">
        <v>20</v>
      </c>
      <c r="I32" s="81" t="inlineStr">
        <is>
          <t>CT</t>
        </is>
      </c>
      <c r="J32" s="76" t="n">
        <v>7823</v>
      </c>
      <c r="K32" s="82" t="inlineStr">
        <is>
          <t>JPY</t>
        </is>
      </c>
      <c r="L32" s="78">
        <f>H32*J32</f>
        <v/>
      </c>
      <c r="M32" s="90" t="n"/>
      <c r="N32" s="125" t="n"/>
      <c r="O32" s="125" t="n"/>
      <c r="P32" s="125" t="n"/>
      <c r="Q32" s="125" t="n"/>
    </row>
    <row r="33" ht="46.5" customHeight="1">
      <c r="A33" s="69" t="n">
        <v>12</v>
      </c>
      <c r="B33" s="87" t="inlineStr">
        <is>
          <t>PO20260321</t>
        </is>
      </c>
      <c r="C33" s="84" t="inlineStr">
        <is>
          <t>99PRD011221</t>
        </is>
      </c>
      <c r="D33" s="85" t="inlineStr">
        <is>
          <t>BEET GOLDEN LARGE</t>
        </is>
      </c>
      <c r="E33" s="86" t="inlineStr">
        <is>
          <t>ビーツ ゴールデン</t>
        </is>
      </c>
      <c r="F33" s="72" t="inlineStr">
        <is>
          <t>CT/5KG</t>
        </is>
      </c>
      <c r="G33" s="140" t="n"/>
      <c r="H33" s="74" t="n">
        <v>60</v>
      </c>
      <c r="I33" s="81" t="inlineStr">
        <is>
          <t>CT</t>
        </is>
      </c>
      <c r="J33" s="76" t="n">
        <v>19926</v>
      </c>
      <c r="K33" s="82" t="inlineStr">
        <is>
          <t>JPY</t>
        </is>
      </c>
      <c r="L33" s="78">
        <f>H33*J33</f>
        <v/>
      </c>
      <c r="M33" s="90" t="n"/>
      <c r="N33" s="142" t="n"/>
      <c r="O33" s="142" t="n"/>
      <c r="P33" s="142" t="n"/>
      <c r="Q33" s="142" t="n"/>
    </row>
    <row r="34" ht="46.5" customHeight="1">
      <c r="A34" s="69" t="n">
        <v>13</v>
      </c>
      <c r="B34" s="87" t="inlineStr">
        <is>
          <t>PO20260321</t>
        </is>
      </c>
      <c r="C34" s="84" t="inlineStr">
        <is>
          <t>99PRD011332</t>
        </is>
      </c>
      <c r="D34" s="85" t="inlineStr">
        <is>
          <t>BLUEBERRY FRESH</t>
        </is>
      </c>
      <c r="E34" s="86" t="inlineStr">
        <is>
          <t>ブルーベリー</t>
        </is>
      </c>
      <c r="F34" s="72" t="inlineStr">
        <is>
          <t>12PT/CS</t>
        </is>
      </c>
      <c r="G34" s="140" t="n"/>
      <c r="H34" s="74" t="n">
        <v>5</v>
      </c>
      <c r="I34" s="81" t="inlineStr">
        <is>
          <t>CT</t>
        </is>
      </c>
      <c r="J34" s="76" t="n">
        <v>18590</v>
      </c>
      <c r="K34" s="82" t="inlineStr">
        <is>
          <t>JPY</t>
        </is>
      </c>
      <c r="L34" s="78">
        <f>H34*J34</f>
        <v/>
      </c>
      <c r="M34" s="90" t="n"/>
      <c r="N34" s="142" t="n"/>
      <c r="O34" s="142" t="n"/>
      <c r="P34" s="142" t="n"/>
      <c r="Q34" s="142" t="n"/>
    </row>
    <row r="35" ht="46.5" customHeight="1">
      <c r="A35" s="69" t="n">
        <v>14</v>
      </c>
      <c r="B35" s="87" t="inlineStr">
        <is>
          <t>PO20260321</t>
        </is>
      </c>
      <c r="C35" s="84" t="inlineStr">
        <is>
          <t>99PRD011443</t>
        </is>
      </c>
      <c r="D35" s="85" t="inlineStr">
        <is>
          <t>BOK CHOY BABY</t>
        </is>
      </c>
      <c r="E35" s="86" t="inlineStr">
        <is>
          <t>ミニ青梗菜</t>
        </is>
      </c>
      <c r="F35" s="72" t="inlineStr">
        <is>
          <t>CT/5KG</t>
        </is>
      </c>
      <c r="G35" s="140" t="n"/>
      <c r="H35" s="74" t="n">
        <v>20</v>
      </c>
      <c r="I35" s="81" t="inlineStr">
        <is>
          <t>CT</t>
        </is>
      </c>
      <c r="J35" s="76" t="n">
        <v>23662</v>
      </c>
      <c r="K35" s="82" t="inlineStr">
        <is>
          <t>JPY</t>
        </is>
      </c>
      <c r="L35" s="78">
        <f>H35*J35</f>
        <v/>
      </c>
      <c r="M35" s="90" t="n"/>
      <c r="N35" s="142" t="n"/>
      <c r="O35" s="142" t="n"/>
      <c r="P35" s="142" t="n"/>
      <c r="Q35" s="142" t="n"/>
    </row>
    <row r="36" ht="46.5" customHeight="1">
      <c r="A36" s="69" t="n">
        <v>15</v>
      </c>
      <c r="B36" s="87" t="inlineStr">
        <is>
          <t>PO20260321</t>
        </is>
      </c>
      <c r="C36" s="84" t="inlineStr">
        <is>
          <t>99PRD011554</t>
        </is>
      </c>
      <c r="D36" s="85" t="inlineStr">
        <is>
          <t>BREAD SOURDOUGH LOAF</t>
        </is>
      </c>
      <c r="E36" s="86" t="inlineStr">
        <is>
          <t>サワードウ ローフ</t>
        </is>
      </c>
      <c r="F36" s="72" t="inlineStr">
        <is>
          <t>1PC/800G</t>
        </is>
      </c>
      <c r="G36" s="140" t="n"/>
      <c r="H36" s="74" t="n">
        <v>100</v>
      </c>
      <c r="I36" s="81" t="inlineStr">
        <is>
          <t>CT</t>
        </is>
      </c>
      <c r="J36" s="76" t="n">
        <v>23181</v>
      </c>
      <c r="K36" s="82" t="inlineStr">
        <is>
          <t>JPY</t>
        </is>
      </c>
      <c r="L36" s="78">
        <f>H36*J36</f>
        <v/>
      </c>
      <c r="M36" s="90" t="n"/>
      <c r="N36" s="142" t="n"/>
      <c r="O36" s="142" t="n"/>
      <c r="P36" s="142" t="n"/>
      <c r="Q36" s="142" t="n"/>
    </row>
    <row r="37" ht="46.5" customHeight="1">
      <c r="A37" s="69" t="n">
        <v>16</v>
      </c>
      <c r="B37" s="87" t="inlineStr">
        <is>
          <t>PO20260321</t>
        </is>
      </c>
      <c r="C37" s="84" t="inlineStr">
        <is>
          <t>99PRD011665</t>
        </is>
      </c>
      <c r="D37" s="85" t="inlineStr">
        <is>
          <t>BROCCOLI CROWN FRESH</t>
        </is>
      </c>
      <c r="E37" s="86" t="inlineStr">
        <is>
          <t>ブロッコリー</t>
        </is>
      </c>
      <c r="F37" s="72" t="inlineStr">
        <is>
          <t>CT/6KG</t>
        </is>
      </c>
      <c r="G37" s="140" t="n"/>
      <c r="H37" s="74" t="n">
        <v>60</v>
      </c>
      <c r="I37" s="81" t="inlineStr">
        <is>
          <t>CT</t>
        </is>
      </c>
      <c r="J37" s="76" t="n">
        <v>13946</v>
      </c>
      <c r="K37" s="82" t="inlineStr">
        <is>
          <t>JPY</t>
        </is>
      </c>
      <c r="L37" s="78">
        <f>H37*J37</f>
        <v/>
      </c>
      <c r="M37" s="90" t="n"/>
      <c r="N37" s="142" t="n"/>
      <c r="O37" s="142" t="n"/>
      <c r="P37" s="142" t="n"/>
      <c r="Q37" s="142" t="n"/>
    </row>
    <row r="38" ht="46.5" customHeight="1">
      <c r="A38" s="69" t="n">
        <v>17</v>
      </c>
      <c r="B38" s="87" t="inlineStr">
        <is>
          <t>PO20260321</t>
        </is>
      </c>
      <c r="C38" s="84" t="inlineStr">
        <is>
          <t>99PRD011776</t>
        </is>
      </c>
      <c r="D38" s="85" t="inlineStr">
        <is>
          <t>BUTTER UNSALTED 82%</t>
        </is>
      </c>
      <c r="E38" s="86" t="inlineStr">
        <is>
          <t>無塩バター 82%</t>
        </is>
      </c>
      <c r="F38" s="72" t="inlineStr">
        <is>
          <t>25KG/BLK</t>
        </is>
      </c>
      <c r="G38" s="140" t="n"/>
      <c r="H38" s="74" t="n">
        <v>20</v>
      </c>
      <c r="I38" s="81" t="inlineStr">
        <is>
          <t>CT</t>
        </is>
      </c>
      <c r="J38" s="76" t="n">
        <v>14919</v>
      </c>
      <c r="K38" s="82" t="inlineStr">
        <is>
          <t>JPY</t>
        </is>
      </c>
      <c r="L38" s="78">
        <f>H38*J38</f>
        <v/>
      </c>
      <c r="M38" s="90" t="n"/>
      <c r="N38" s="142" t="n"/>
      <c r="O38" s="142" t="n"/>
      <c r="P38" s="142" t="n"/>
      <c r="Q38" s="142" t="n"/>
    </row>
    <row r="39" ht="46.5" customHeight="1">
      <c r="A39" s="69" t="n">
        <v>18</v>
      </c>
      <c r="B39" s="87" t="inlineStr">
        <is>
          <t>PO20260321</t>
        </is>
      </c>
      <c r="C39" s="84" t="inlineStr">
        <is>
          <t>99PRD011887</t>
        </is>
      </c>
      <c r="D39" s="85" t="inlineStr">
        <is>
          <t>CABBAGE GREEN</t>
        </is>
      </c>
      <c r="E39" s="86" t="inlineStr">
        <is>
          <t>キャベツ</t>
        </is>
      </c>
      <c r="F39" s="72" t="inlineStr">
        <is>
          <t>6-8CT/10KG</t>
        </is>
      </c>
      <c r="G39" s="140" t="n"/>
      <c r="H39" s="74" t="n">
        <v>80</v>
      </c>
      <c r="I39" s="81" t="inlineStr">
        <is>
          <t>CT</t>
        </is>
      </c>
      <c r="J39" s="76" t="n">
        <v>9315</v>
      </c>
      <c r="K39" s="82" t="inlineStr">
        <is>
          <t>JPY</t>
        </is>
      </c>
      <c r="L39" s="78">
        <f>H39*J39</f>
        <v/>
      </c>
      <c r="M39" s="90" t="n"/>
      <c r="N39" s="142" t="n"/>
      <c r="O39" s="142" t="n"/>
      <c r="P39" s="142" t="n"/>
      <c r="Q39" s="142" t="n"/>
    </row>
    <row r="40" ht="46.5" customHeight="1">
      <c r="A40" s="69" t="n">
        <v>19</v>
      </c>
      <c r="B40" s="87" t="inlineStr">
        <is>
          <t>PO20260321</t>
        </is>
      </c>
      <c r="C40" s="84" t="inlineStr">
        <is>
          <t>99PRD011998</t>
        </is>
      </c>
      <c r="D40" s="85" t="inlineStr">
        <is>
          <t>CABBAGE NAPA</t>
        </is>
      </c>
      <c r="E40" s="86" t="inlineStr">
        <is>
          <t>白菜</t>
        </is>
      </c>
      <c r="F40" s="72" t="inlineStr">
        <is>
          <t>4CT/12KG</t>
        </is>
      </c>
      <c r="G40" s="140" t="n"/>
      <c r="H40" s="74" t="n">
        <v>200</v>
      </c>
      <c r="I40" s="81" t="inlineStr">
        <is>
          <t>CT</t>
        </is>
      </c>
      <c r="J40" s="76" t="n">
        <v>412</v>
      </c>
      <c r="K40" s="82" t="inlineStr">
        <is>
          <t>JPY</t>
        </is>
      </c>
      <c r="L40" s="78">
        <f>H40*J40</f>
        <v/>
      </c>
      <c r="M40" s="90" t="n"/>
      <c r="N40" s="142" t="n"/>
      <c r="O40" s="142" t="n"/>
      <c r="P40" s="142" t="n"/>
      <c r="Q40" s="142" t="n"/>
    </row>
    <row r="41" ht="46.5" customHeight="1">
      <c r="A41" s="69" t="n">
        <v>20</v>
      </c>
      <c r="B41" s="87" t="inlineStr">
        <is>
          <t>PO20260321</t>
        </is>
      </c>
      <c r="C41" s="84" t="inlineStr">
        <is>
          <t>99PRD012109</t>
        </is>
      </c>
      <c r="D41" s="85" t="inlineStr">
        <is>
          <t>CABBAGE RED</t>
        </is>
      </c>
      <c r="E41" s="86" t="inlineStr">
        <is>
          <t>レッドキャベツ</t>
        </is>
      </c>
      <c r="F41" s="72" t="inlineStr">
        <is>
          <t>6-9CT/6KG</t>
        </is>
      </c>
      <c r="G41" s="140" t="n"/>
      <c r="H41" s="74" t="n">
        <v>200</v>
      </c>
      <c r="I41" s="81" t="inlineStr">
        <is>
          <t>CT</t>
        </is>
      </c>
      <c r="J41" s="76" t="n">
        <v>5431</v>
      </c>
      <c r="K41" s="82" t="inlineStr">
        <is>
          <t>JPY</t>
        </is>
      </c>
      <c r="L41" s="78">
        <f>H41*J41</f>
        <v/>
      </c>
      <c r="M41" s="90" t="n"/>
      <c r="N41" s="142" t="n"/>
      <c r="O41" s="142" t="n"/>
      <c r="P41" s="142" t="n"/>
      <c r="Q41" s="142" t="n"/>
    </row>
    <row r="42" ht="46.5" customHeight="1">
      <c r="A42" s="69" t="n">
        <v>21</v>
      </c>
      <c r="B42" s="87" t="inlineStr">
        <is>
          <t>PO20260321</t>
        </is>
      </c>
      <c r="C42" s="84" t="inlineStr">
        <is>
          <t>99PRD012220</t>
        </is>
      </c>
      <c r="D42" s="85" t="inlineStr">
        <is>
          <t>CARROT BABY PEELED</t>
        </is>
      </c>
      <c r="E42" s="86" t="inlineStr">
        <is>
          <t>ベビーキャロット 皮むき</t>
        </is>
      </c>
      <c r="F42" s="72" t="inlineStr">
        <is>
          <t>2KG/BAG</t>
        </is>
      </c>
      <c r="G42" s="140" t="n"/>
      <c r="H42" s="74" t="n">
        <v>150</v>
      </c>
      <c r="I42" s="81" t="inlineStr">
        <is>
          <t>CT</t>
        </is>
      </c>
      <c r="J42" s="76" t="n">
        <v>14048</v>
      </c>
      <c r="K42" s="82" t="inlineStr">
        <is>
          <t>JPY</t>
        </is>
      </c>
      <c r="L42" s="78">
        <f>H42*J42</f>
        <v/>
      </c>
      <c r="M42" s="90" t="n"/>
      <c r="N42" s="142" t="n"/>
      <c r="O42" s="142" t="n"/>
      <c r="P42" s="142" t="n"/>
      <c r="Q42" s="142" t="n"/>
    </row>
    <row r="43" ht="46.5" customHeight="1">
      <c r="A43" s="69" t="n">
        <v>22</v>
      </c>
      <c r="B43" s="87" t="inlineStr">
        <is>
          <t>PO20260321</t>
        </is>
      </c>
      <c r="C43" s="84" t="inlineStr">
        <is>
          <t>99PRD012331</t>
        </is>
      </c>
      <c r="D43" s="85" t="inlineStr">
        <is>
          <t>CARROT WHOLE LARGE</t>
        </is>
      </c>
      <c r="E43" s="86" t="inlineStr">
        <is>
          <t>にんじん 大</t>
        </is>
      </c>
      <c r="F43" s="72" t="inlineStr">
        <is>
          <t>10KG/BAG</t>
        </is>
      </c>
      <c r="G43" s="140" t="n"/>
      <c r="H43" s="74" t="n">
        <v>30</v>
      </c>
      <c r="I43" s="81" t="inlineStr">
        <is>
          <t>CT</t>
        </is>
      </c>
      <c r="J43" s="76" t="n">
        <v>9305</v>
      </c>
      <c r="K43" s="82" t="inlineStr">
        <is>
          <t>JPY</t>
        </is>
      </c>
      <c r="L43" s="78">
        <f>H43*J43</f>
        <v/>
      </c>
      <c r="M43" s="90" t="n"/>
      <c r="N43" s="142" t="n"/>
      <c r="O43" s="142" t="n"/>
      <c r="P43" s="142" t="n"/>
      <c r="Q43" s="142" t="n"/>
    </row>
    <row r="44" ht="46.5" customHeight="1">
      <c r="A44" s="69" t="n">
        <v>23</v>
      </c>
      <c r="B44" s="87" t="inlineStr">
        <is>
          <t>PO20260321</t>
        </is>
      </c>
      <c r="C44" s="84" t="inlineStr">
        <is>
          <t>99PRD012442</t>
        </is>
      </c>
      <c r="D44" s="85" t="inlineStr">
        <is>
          <t>CAULIFLOWER 9-12CT</t>
        </is>
      </c>
      <c r="E44" s="86" t="inlineStr">
        <is>
          <t>カリフラワー</t>
        </is>
      </c>
      <c r="F44" s="72" t="inlineStr">
        <is>
          <t>8CT/5KG</t>
        </is>
      </c>
      <c r="G44" s="140" t="n"/>
      <c r="H44" s="74" t="n">
        <v>15</v>
      </c>
      <c r="I44" s="81" t="inlineStr">
        <is>
          <t>CT</t>
        </is>
      </c>
      <c r="J44" s="76" t="n">
        <v>7255</v>
      </c>
      <c r="K44" s="82" t="inlineStr">
        <is>
          <t>JPY</t>
        </is>
      </c>
      <c r="L44" s="78">
        <f>H44*J44</f>
        <v/>
      </c>
      <c r="M44" s="90" t="n"/>
      <c r="N44" s="142" t="n"/>
      <c r="O44" s="142" t="n"/>
      <c r="P44" s="142" t="n"/>
      <c r="Q44" s="142" t="n"/>
    </row>
    <row r="45" ht="46.5" customHeight="1">
      <c r="A45" s="69" t="n">
        <v>24</v>
      </c>
      <c r="B45" s="87" t="inlineStr">
        <is>
          <t>PO20260321</t>
        </is>
      </c>
      <c r="C45" s="84" t="inlineStr">
        <is>
          <t>99PRD012553</t>
        </is>
      </c>
      <c r="D45" s="85" t="inlineStr">
        <is>
          <t>CELERY TABLE WASHED</t>
        </is>
      </c>
      <c r="E45" s="86" t="inlineStr">
        <is>
          <t>セロリ（洗浄済）</t>
        </is>
      </c>
      <c r="F45" s="72" t="inlineStr">
        <is>
          <t>5-7CT/10KG</t>
        </is>
      </c>
      <c r="G45" s="140" t="n"/>
      <c r="H45" s="74" t="n">
        <v>200</v>
      </c>
      <c r="I45" s="81" t="inlineStr">
        <is>
          <t>CT</t>
        </is>
      </c>
      <c r="J45" s="76" t="n">
        <v>11229</v>
      </c>
      <c r="K45" s="82" t="inlineStr">
        <is>
          <t>JPY</t>
        </is>
      </c>
      <c r="L45" s="78">
        <f>H45*J45</f>
        <v/>
      </c>
      <c r="M45" s="90" t="n"/>
      <c r="N45" s="142" t="n"/>
      <c r="O45" s="142" t="n"/>
      <c r="P45" s="142" t="n"/>
      <c r="Q45" s="142" t="n"/>
    </row>
    <row r="46" ht="46.5" customHeight="1">
      <c r="A46" s="69" t="n">
        <v>25</v>
      </c>
      <c r="B46" s="87" t="inlineStr">
        <is>
          <t>PO20260321</t>
        </is>
      </c>
      <c r="C46" s="84" t="inlineStr">
        <is>
          <t>99PRD012664</t>
        </is>
      </c>
      <c r="D46" s="85" t="inlineStr">
        <is>
          <t>CHEESE BRIE WHEEL</t>
        </is>
      </c>
      <c r="E46" s="86" t="inlineStr">
        <is>
          <t>ブリーチーズ</t>
        </is>
      </c>
      <c r="F46" s="72" t="inlineStr">
        <is>
          <t>1KG/WHL</t>
        </is>
      </c>
      <c r="G46" s="140" t="n"/>
      <c r="H46" s="74" t="n">
        <v>10</v>
      </c>
      <c r="I46" s="81" t="inlineStr">
        <is>
          <t>CT</t>
        </is>
      </c>
      <c r="J46" s="76" t="n">
        <v>3239</v>
      </c>
      <c r="K46" s="82" t="inlineStr">
        <is>
          <t>JPY</t>
        </is>
      </c>
      <c r="L46" s="78">
        <f>H46*J46</f>
        <v/>
      </c>
      <c r="M46" s="90" t="n"/>
      <c r="N46" s="142" t="n"/>
      <c r="O46" s="142" t="n"/>
      <c r="P46" s="142" t="n"/>
      <c r="Q46" s="142" t="n"/>
    </row>
    <row r="47" ht="46.5" customHeight="1">
      <c r="A47" s="69" t="n">
        <v>26</v>
      </c>
      <c r="B47" s="87" t="inlineStr">
        <is>
          <t>PO20260321</t>
        </is>
      </c>
      <c r="C47" s="84" t="inlineStr">
        <is>
          <t>99PRD012775</t>
        </is>
      </c>
      <c r="D47" s="85" t="inlineStr">
        <is>
          <t>CHEESE CHEDDAR AGED</t>
        </is>
      </c>
      <c r="E47" s="86" t="inlineStr">
        <is>
          <t>チェダーチーズ 熟成</t>
        </is>
      </c>
      <c r="F47" s="72" t="inlineStr">
        <is>
          <t>2.5KG/BLK</t>
        </is>
      </c>
      <c r="G47" s="140" t="n"/>
      <c r="H47" s="74" t="n">
        <v>40</v>
      </c>
      <c r="I47" s="81" t="inlineStr">
        <is>
          <t>CT</t>
        </is>
      </c>
      <c r="J47" s="76" t="n">
        <v>3369</v>
      </c>
      <c r="K47" s="82" t="inlineStr">
        <is>
          <t>JPY</t>
        </is>
      </c>
      <c r="L47" s="78">
        <f>H47*J47</f>
        <v/>
      </c>
      <c r="M47" s="90" t="n"/>
      <c r="N47" s="142" t="n"/>
      <c r="O47" s="142" t="n"/>
      <c r="P47" s="142" t="n"/>
      <c r="Q47" s="142" t="n"/>
    </row>
    <row r="48" ht="46.5" customHeight="1">
      <c r="A48" s="69" t="n">
        <v>27</v>
      </c>
      <c r="B48" s="87" t="inlineStr">
        <is>
          <t>PO20260321</t>
        </is>
      </c>
      <c r="C48" s="84" t="inlineStr">
        <is>
          <t>99PRD012886</t>
        </is>
      </c>
      <c r="D48" s="85" t="inlineStr">
        <is>
          <t>CHEESE CREAM PHILLY</t>
        </is>
      </c>
      <c r="E48" s="86" t="inlineStr">
        <is>
          <t>クリームチーズ フィリー</t>
        </is>
      </c>
      <c r="F48" s="72" t="inlineStr">
        <is>
          <t>2KG/TUB</t>
        </is>
      </c>
      <c r="G48" s="140" t="n"/>
      <c r="H48" s="74" t="n">
        <v>30</v>
      </c>
      <c r="I48" s="81" t="inlineStr">
        <is>
          <t>CT</t>
        </is>
      </c>
      <c r="J48" s="76" t="n">
        <v>11470</v>
      </c>
      <c r="K48" s="82" t="inlineStr">
        <is>
          <t>JPY</t>
        </is>
      </c>
      <c r="L48" s="78">
        <f>H48*J48</f>
        <v/>
      </c>
      <c r="M48" s="90" t="n"/>
      <c r="N48" s="142" t="n"/>
      <c r="O48" s="142" t="n"/>
      <c r="P48" s="142" t="n"/>
      <c r="Q48" s="142" t="n"/>
    </row>
    <row r="49" ht="46.5" customHeight="1">
      <c r="A49" s="69" t="n">
        <v>28</v>
      </c>
      <c r="B49" s="87" t="inlineStr">
        <is>
          <t>PO20260321</t>
        </is>
      </c>
      <c r="C49" s="84" t="inlineStr">
        <is>
          <t>99PRD012997</t>
        </is>
      </c>
      <c r="D49" s="85" t="inlineStr">
        <is>
          <t>CHEESE GOUDA SMOKED</t>
        </is>
      </c>
      <c r="E49" s="86" t="inlineStr">
        <is>
          <t>スモークゴーダ</t>
        </is>
      </c>
      <c r="F49" s="72" t="inlineStr">
        <is>
          <t>2KG/BLK</t>
        </is>
      </c>
      <c r="G49" s="140" t="n"/>
      <c r="H49" s="74" t="n">
        <v>80</v>
      </c>
      <c r="I49" s="81" t="inlineStr">
        <is>
          <t>CT</t>
        </is>
      </c>
      <c r="J49" s="76" t="n">
        <v>8867</v>
      </c>
      <c r="K49" s="82" t="inlineStr">
        <is>
          <t>JPY</t>
        </is>
      </c>
      <c r="L49" s="78">
        <f>H49*J49</f>
        <v/>
      </c>
      <c r="M49" s="90" t="n"/>
      <c r="N49" s="142" t="n"/>
      <c r="O49" s="142" t="n"/>
      <c r="P49" s="142" t="n"/>
      <c r="Q49" s="142" t="n"/>
    </row>
    <row r="50" ht="46.5" customHeight="1">
      <c r="A50" s="69" t="n">
        <v>29</v>
      </c>
      <c r="B50" s="87" t="inlineStr">
        <is>
          <t>PO20260321</t>
        </is>
      </c>
      <c r="C50" s="84" t="inlineStr">
        <is>
          <t>99PRD013108</t>
        </is>
      </c>
      <c r="D50" s="85" t="inlineStr">
        <is>
          <t>CHEESE MOZZARELLA LOG</t>
        </is>
      </c>
      <c r="E50" s="86" t="inlineStr">
        <is>
          <t>モッツァレラ ログ</t>
        </is>
      </c>
      <c r="F50" s="72" t="inlineStr">
        <is>
          <t>2.5KG/LOG</t>
        </is>
      </c>
      <c r="G50" s="140" t="n"/>
      <c r="H50" s="74" t="n">
        <v>200</v>
      </c>
      <c r="I50" s="81" t="inlineStr">
        <is>
          <t>CT</t>
        </is>
      </c>
      <c r="J50" s="76" t="n">
        <v>1623</v>
      </c>
      <c r="K50" s="82" t="inlineStr">
        <is>
          <t>JPY</t>
        </is>
      </c>
      <c r="L50" s="78">
        <f>H50*J50</f>
        <v/>
      </c>
      <c r="M50" s="90" t="n"/>
      <c r="N50" s="142" t="n"/>
      <c r="O50" s="142" t="n"/>
      <c r="P50" s="142" t="n"/>
      <c r="Q50" s="142" t="n"/>
    </row>
    <row r="51" ht="46.5" customHeight="1">
      <c r="A51" s="69" t="n">
        <v>30</v>
      </c>
      <c r="B51" s="87" t="inlineStr">
        <is>
          <t>PO20260321</t>
        </is>
      </c>
      <c r="C51" s="84" t="inlineStr">
        <is>
          <t>99PRD013219</t>
        </is>
      </c>
      <c r="D51" s="85" t="inlineStr">
        <is>
          <t>CHEESE PARMESAN BLOCK</t>
        </is>
      </c>
      <c r="E51" s="86" t="inlineStr">
        <is>
          <t>パルメザン ブロック</t>
        </is>
      </c>
      <c r="F51" s="72" t="inlineStr">
        <is>
          <t>1KG/PC</t>
        </is>
      </c>
      <c r="G51" s="140" t="n"/>
      <c r="H51" s="74" t="n">
        <v>150</v>
      </c>
      <c r="I51" s="81" t="inlineStr">
        <is>
          <t>CT</t>
        </is>
      </c>
      <c r="J51" s="76" t="n">
        <v>15254</v>
      </c>
      <c r="K51" s="82" t="inlineStr">
        <is>
          <t>JPY</t>
        </is>
      </c>
      <c r="L51" s="78">
        <f>H51*J51</f>
        <v/>
      </c>
      <c r="M51" s="90" t="n"/>
      <c r="N51" s="142" t="n"/>
      <c r="O51" s="142" t="n"/>
      <c r="P51" s="142" t="n"/>
      <c r="Q51" s="142" t="n"/>
    </row>
    <row r="52" ht="46.5" customHeight="1">
      <c r="A52" s="69" t="n">
        <v>31</v>
      </c>
      <c r="B52" s="87" t="inlineStr">
        <is>
          <t>PO20260321</t>
        </is>
      </c>
      <c r="C52" s="84" t="inlineStr">
        <is>
          <t>99PRD013330</t>
        </is>
      </c>
      <c r="D52" s="85" t="inlineStr">
        <is>
          <t>CHERRY BING FRESH</t>
        </is>
      </c>
      <c r="E52" s="86" t="inlineStr">
        <is>
          <t>さくらんぼ</t>
        </is>
      </c>
      <c r="F52" s="72" t="inlineStr">
        <is>
          <t>2KG/BOX</t>
        </is>
      </c>
      <c r="G52" s="140" t="n"/>
      <c r="H52" s="74" t="n">
        <v>60</v>
      </c>
      <c r="I52" s="81" t="inlineStr">
        <is>
          <t>CT</t>
        </is>
      </c>
      <c r="J52" s="76" t="n">
        <v>4290</v>
      </c>
      <c r="K52" s="82" t="inlineStr">
        <is>
          <t>JPY</t>
        </is>
      </c>
      <c r="L52" s="78">
        <f>H52*J52</f>
        <v/>
      </c>
      <c r="M52" s="90" t="n"/>
      <c r="N52" s="142" t="n"/>
      <c r="O52" s="142" t="n"/>
      <c r="P52" s="142" t="n"/>
      <c r="Q52" s="142" t="n"/>
    </row>
    <row r="53" ht="46.5" customHeight="1">
      <c r="A53" s="69" t="n">
        <v>32</v>
      </c>
      <c r="B53" s="87" t="inlineStr">
        <is>
          <t>PO20260321</t>
        </is>
      </c>
      <c r="C53" s="84" t="inlineStr">
        <is>
          <t>99PRD013441</t>
        </is>
      </c>
      <c r="D53" s="85" t="inlineStr">
        <is>
          <t>CHICKEN BREAST SKINLESS</t>
        </is>
      </c>
      <c r="E53" s="86" t="inlineStr">
        <is>
          <t>鶏むね肉 皮なし</t>
        </is>
      </c>
      <c r="F53" s="72" t="inlineStr">
        <is>
          <t>2KG/PKT</t>
        </is>
      </c>
      <c r="G53" s="140" t="n"/>
      <c r="H53" s="74" t="n">
        <v>500</v>
      </c>
      <c r="I53" s="81" t="inlineStr">
        <is>
          <t>CT</t>
        </is>
      </c>
      <c r="J53" s="76" t="n">
        <v>12603</v>
      </c>
      <c r="K53" s="82" t="inlineStr">
        <is>
          <t>JPY</t>
        </is>
      </c>
      <c r="L53" s="78">
        <f>H53*J53</f>
        <v/>
      </c>
      <c r="M53" s="90" t="n"/>
      <c r="N53" s="142" t="n"/>
      <c r="O53" s="142" t="n"/>
      <c r="P53" s="142" t="n"/>
      <c r="Q53" s="142" t="n"/>
    </row>
    <row r="54" ht="46.5" customHeight="1">
      <c r="A54" s="69" t="n">
        <v>33</v>
      </c>
      <c r="B54" s="87" t="inlineStr">
        <is>
          <t>PO20260321</t>
        </is>
      </c>
      <c r="C54" s="84" t="inlineStr">
        <is>
          <t>99PRD013552</t>
        </is>
      </c>
      <c r="D54" s="85" t="inlineStr">
        <is>
          <t>CHICKEN THIGH BONELESS</t>
        </is>
      </c>
      <c r="E54" s="86" t="inlineStr">
        <is>
          <t>鶏もも肉 骨なし</t>
        </is>
      </c>
      <c r="F54" s="72" t="inlineStr">
        <is>
          <t>2KG/PKT</t>
        </is>
      </c>
      <c r="G54" s="140" t="n"/>
      <c r="H54" s="74" t="n">
        <v>10</v>
      </c>
      <c r="I54" s="81" t="inlineStr">
        <is>
          <t>CT</t>
        </is>
      </c>
      <c r="J54" s="76" t="n">
        <v>18289</v>
      </c>
      <c r="K54" s="82" t="inlineStr">
        <is>
          <t>JPY</t>
        </is>
      </c>
      <c r="L54" s="78">
        <f>H54*J54</f>
        <v/>
      </c>
      <c r="M54" s="90" t="n"/>
      <c r="N54" s="142" t="n"/>
      <c r="O54" s="142" t="n"/>
      <c r="P54" s="142" t="n"/>
      <c r="Q54" s="142" t="n"/>
    </row>
    <row r="55" ht="46.5" customHeight="1">
      <c r="A55" s="69" t="n">
        <v>34</v>
      </c>
      <c r="B55" s="87" t="inlineStr">
        <is>
          <t>PO20260321</t>
        </is>
      </c>
      <c r="C55" s="84" t="inlineStr">
        <is>
          <t>99PRD013663</t>
        </is>
      </c>
      <c r="D55" s="85" t="inlineStr">
        <is>
          <t>CHILI RED FRESH</t>
        </is>
      </c>
      <c r="E55" s="86" t="inlineStr">
        <is>
          <t>赤唐辛子</t>
        </is>
      </c>
      <c r="F55" s="72" t="inlineStr">
        <is>
          <t>200G/BAG</t>
        </is>
      </c>
      <c r="G55" s="140" t="n"/>
      <c r="H55" s="74" t="n">
        <v>25</v>
      </c>
      <c r="I55" s="81" t="inlineStr">
        <is>
          <t>CT</t>
        </is>
      </c>
      <c r="J55" s="76" t="n">
        <v>20799</v>
      </c>
      <c r="K55" s="82" t="inlineStr">
        <is>
          <t>JPY</t>
        </is>
      </c>
      <c r="L55" s="78">
        <f>H55*J55</f>
        <v/>
      </c>
      <c r="M55" s="90" t="n"/>
      <c r="N55" s="142" t="n"/>
      <c r="O55" s="142" t="n"/>
      <c r="P55" s="142" t="n"/>
      <c r="Q55" s="142" t="n"/>
    </row>
    <row r="56" ht="46.5" customHeight="1">
      <c r="A56" s="69" t="n">
        <v>35</v>
      </c>
      <c r="B56" s="87" t="inlineStr">
        <is>
          <t>PO20260321</t>
        </is>
      </c>
      <c r="C56" s="84" t="inlineStr">
        <is>
          <t>99PRD013774</t>
        </is>
      </c>
      <c r="D56" s="85" t="inlineStr">
        <is>
          <t>CHOCOLATE COUVERTURE 70%</t>
        </is>
      </c>
      <c r="E56" s="86" t="inlineStr">
        <is>
          <t>クーベルチュール 70%</t>
        </is>
      </c>
      <c r="F56" s="72" t="inlineStr">
        <is>
          <t>2.5KG/BLK</t>
        </is>
      </c>
      <c r="G56" s="140" t="n"/>
      <c r="H56" s="74" t="n">
        <v>80</v>
      </c>
      <c r="I56" s="81" t="inlineStr">
        <is>
          <t>CT</t>
        </is>
      </c>
      <c r="J56" s="76" t="n">
        <v>12050</v>
      </c>
      <c r="K56" s="82" t="inlineStr">
        <is>
          <t>JPY</t>
        </is>
      </c>
      <c r="L56" s="78">
        <f>H56*J56</f>
        <v/>
      </c>
      <c r="M56" s="90" t="n"/>
      <c r="N56" s="142" t="n"/>
      <c r="O56" s="142" t="n"/>
      <c r="P56" s="142" t="n"/>
      <c r="Q56" s="142" t="n"/>
    </row>
    <row r="57" ht="46.5" customHeight="1">
      <c r="A57" s="69" t="n">
        <v>36</v>
      </c>
      <c r="B57" s="87" t="inlineStr">
        <is>
          <t>PO20260321</t>
        </is>
      </c>
      <c r="C57" s="84" t="inlineStr">
        <is>
          <t>99PRD013885</t>
        </is>
      </c>
      <c r="D57" s="85" t="inlineStr">
        <is>
          <t>CILANTRO FRESH BUNCH</t>
        </is>
      </c>
      <c r="E57" s="86" t="inlineStr">
        <is>
          <t>パクチー</t>
        </is>
      </c>
      <c r="F57" s="72" t="inlineStr">
        <is>
          <t>100G/BCH</t>
        </is>
      </c>
      <c r="G57" s="140" t="n"/>
      <c r="H57" s="74" t="n">
        <v>80</v>
      </c>
      <c r="I57" s="81" t="inlineStr">
        <is>
          <t>CT</t>
        </is>
      </c>
      <c r="J57" s="76" t="n">
        <v>6500</v>
      </c>
      <c r="K57" s="82" t="inlineStr">
        <is>
          <t>JPY</t>
        </is>
      </c>
      <c r="L57" s="78">
        <f>H57*J57</f>
        <v/>
      </c>
      <c r="M57" s="90" t="n"/>
      <c r="N57" s="142" t="n"/>
      <c r="O57" s="142" t="n"/>
      <c r="P57" s="142" t="n"/>
      <c r="Q57" s="142" t="n"/>
    </row>
    <row r="58" ht="46.5" customHeight="1">
      <c r="A58" s="69" t="n">
        <v>37</v>
      </c>
      <c r="B58" s="87" t="inlineStr">
        <is>
          <t>PO20260321</t>
        </is>
      </c>
      <c r="C58" s="84" t="inlineStr">
        <is>
          <t>99PRD013996</t>
        </is>
      </c>
      <c r="D58" s="85" t="inlineStr">
        <is>
          <t>COCONUT CREAM UHT</t>
        </is>
      </c>
      <c r="E58" s="86" t="inlineStr">
        <is>
          <t>ココナッツクリーム</t>
        </is>
      </c>
      <c r="F58" s="72" t="inlineStr">
        <is>
          <t>1L/CTN</t>
        </is>
      </c>
      <c r="G58" s="140" t="n"/>
      <c r="H58" s="74" t="n">
        <v>150</v>
      </c>
      <c r="I58" s="81" t="inlineStr">
        <is>
          <t>CT</t>
        </is>
      </c>
      <c r="J58" s="76" t="n">
        <v>2479</v>
      </c>
      <c r="K58" s="82" t="inlineStr">
        <is>
          <t>JPY</t>
        </is>
      </c>
      <c r="L58" s="78">
        <f>H58*J58</f>
        <v/>
      </c>
      <c r="M58" s="90" t="n"/>
      <c r="N58" s="142" t="n"/>
      <c r="O58" s="142" t="n"/>
      <c r="P58" s="142" t="n"/>
      <c r="Q58" s="142" t="n"/>
    </row>
    <row r="59" ht="46.5" customHeight="1">
      <c r="A59" s="69" t="n">
        <v>38</v>
      </c>
      <c r="B59" s="87" t="inlineStr">
        <is>
          <t>PO20260321</t>
        </is>
      </c>
      <c r="C59" s="84" t="inlineStr">
        <is>
          <t>99PRD014107</t>
        </is>
      </c>
      <c r="D59" s="85" t="inlineStr">
        <is>
          <t>COCONUT MILK UHT</t>
        </is>
      </c>
      <c r="E59" s="86" t="inlineStr">
        <is>
          <t>ココナッツミルク</t>
        </is>
      </c>
      <c r="F59" s="72" t="inlineStr">
        <is>
          <t>1L/CTN</t>
        </is>
      </c>
      <c r="G59" s="140" t="n"/>
      <c r="H59" s="74" t="n">
        <v>5</v>
      </c>
      <c r="I59" s="81" t="inlineStr">
        <is>
          <t>CT</t>
        </is>
      </c>
      <c r="J59" s="76" t="n">
        <v>21868</v>
      </c>
      <c r="K59" s="82" t="inlineStr">
        <is>
          <t>JPY</t>
        </is>
      </c>
      <c r="L59" s="78">
        <f>H59*J59</f>
        <v/>
      </c>
      <c r="M59" s="90" t="n"/>
      <c r="N59" s="142" t="n"/>
      <c r="O59" s="142" t="n"/>
      <c r="P59" s="142" t="n"/>
      <c r="Q59" s="142" t="n"/>
    </row>
    <row r="60" ht="46.5" customHeight="1">
      <c r="A60" s="69" t="n">
        <v>39</v>
      </c>
      <c r="B60" s="87" t="inlineStr">
        <is>
          <t>PO20260321</t>
        </is>
      </c>
      <c r="C60" s="84" t="inlineStr">
        <is>
          <t>99PRD014218</t>
        </is>
      </c>
      <c r="D60" s="85" t="inlineStr">
        <is>
          <t>COD FILLET FRESH</t>
        </is>
      </c>
      <c r="E60" s="86" t="inlineStr">
        <is>
          <t>タラ フィレ</t>
        </is>
      </c>
      <c r="F60" s="72" t="inlineStr">
        <is>
          <t>5KG/BOX</t>
        </is>
      </c>
      <c r="G60" s="140" t="n"/>
      <c r="H60" s="74" t="n">
        <v>20</v>
      </c>
      <c r="I60" s="81" t="inlineStr">
        <is>
          <t>CT</t>
        </is>
      </c>
      <c r="J60" s="76" t="n">
        <v>9682</v>
      </c>
      <c r="K60" s="82" t="inlineStr">
        <is>
          <t>JPY</t>
        </is>
      </c>
      <c r="L60" s="78">
        <f>H60*J60</f>
        <v/>
      </c>
      <c r="M60" s="90" t="n"/>
      <c r="N60" s="142" t="n"/>
      <c r="O60" s="142" t="n"/>
      <c r="P60" s="142" t="n"/>
      <c r="Q60" s="142" t="n"/>
    </row>
    <row r="61" ht="46.5" customHeight="1">
      <c r="A61" s="69" t="n">
        <v>40</v>
      </c>
      <c r="B61" s="87" t="inlineStr">
        <is>
          <t>PO20260321</t>
        </is>
      </c>
      <c r="C61" s="84" t="inlineStr">
        <is>
          <t>99PRD014329</t>
        </is>
      </c>
      <c r="D61" s="85" t="inlineStr">
        <is>
          <t>CORN SWEET WHOLE</t>
        </is>
      </c>
      <c r="E61" s="86" t="inlineStr">
        <is>
          <t>スイートコーン 丸ごと</t>
        </is>
      </c>
      <c r="F61" s="72" t="inlineStr">
        <is>
          <t>CT/12PC</t>
        </is>
      </c>
      <c r="G61" s="140" t="n"/>
      <c r="H61" s="74" t="n">
        <v>10</v>
      </c>
      <c r="I61" s="81" t="inlineStr">
        <is>
          <t>CT</t>
        </is>
      </c>
      <c r="J61" s="76" t="n">
        <v>7828</v>
      </c>
      <c r="K61" s="82" t="inlineStr">
        <is>
          <t>JPY</t>
        </is>
      </c>
      <c r="L61" s="78">
        <f>H61*J61</f>
        <v/>
      </c>
      <c r="M61" s="90" t="n"/>
      <c r="N61" s="142" t="n"/>
      <c r="O61" s="142" t="n"/>
      <c r="P61" s="142" t="n"/>
      <c r="Q61" s="142" t="n"/>
    </row>
    <row r="62" ht="46.5" customHeight="1">
      <c r="A62" s="69" t="n">
        <v>41</v>
      </c>
      <c r="B62" s="87" t="inlineStr">
        <is>
          <t>PO20260321</t>
        </is>
      </c>
      <c r="C62" s="84" t="inlineStr">
        <is>
          <t>99PRD014440</t>
        </is>
      </c>
      <c r="D62" s="85" t="inlineStr">
        <is>
          <t>CRAB MEAT LUMP</t>
        </is>
      </c>
      <c r="E62" s="86" t="inlineStr">
        <is>
          <t>カニ肉 ランプ</t>
        </is>
      </c>
      <c r="F62" s="72" t="inlineStr">
        <is>
          <t>454G/CAN</t>
        </is>
      </c>
      <c r="G62" s="140" t="n"/>
      <c r="H62" s="74" t="n">
        <v>300</v>
      </c>
      <c r="I62" s="81" t="inlineStr">
        <is>
          <t>CT</t>
        </is>
      </c>
      <c r="J62" s="76" t="n">
        <v>3509</v>
      </c>
      <c r="K62" s="82" t="inlineStr">
        <is>
          <t>JPY</t>
        </is>
      </c>
      <c r="L62" s="78">
        <f>H62*J62</f>
        <v/>
      </c>
      <c r="M62" s="90" t="n"/>
      <c r="N62" s="142" t="n"/>
      <c r="O62" s="142" t="n"/>
      <c r="P62" s="142" t="n"/>
      <c r="Q62" s="142" t="n"/>
    </row>
    <row r="63" ht="46.5" customHeight="1">
      <c r="A63" s="69" t="n">
        <v>42</v>
      </c>
      <c r="B63" s="87" t="inlineStr">
        <is>
          <t>PO20260321</t>
        </is>
      </c>
      <c r="C63" s="84" t="inlineStr">
        <is>
          <t>99PRD014551</t>
        </is>
      </c>
      <c r="D63" s="85" t="inlineStr">
        <is>
          <t>CREAM DOUBLE 48%</t>
        </is>
      </c>
      <c r="E63" s="86" t="inlineStr">
        <is>
          <t>ダブルクリーム 48%</t>
        </is>
      </c>
      <c r="F63" s="72" t="inlineStr">
        <is>
          <t>1L/CTN</t>
        </is>
      </c>
      <c r="G63" s="140" t="n"/>
      <c r="H63" s="74" t="n">
        <v>40</v>
      </c>
      <c r="I63" s="81" t="inlineStr">
        <is>
          <t>CT</t>
        </is>
      </c>
      <c r="J63" s="76" t="n">
        <v>9308</v>
      </c>
      <c r="K63" s="82" t="inlineStr">
        <is>
          <t>JPY</t>
        </is>
      </c>
      <c r="L63" s="78">
        <f>H63*J63</f>
        <v/>
      </c>
      <c r="M63" s="90" t="n"/>
      <c r="N63" s="142" t="n"/>
      <c r="O63" s="142" t="n"/>
      <c r="P63" s="142" t="n"/>
      <c r="Q63" s="142" t="n"/>
    </row>
    <row r="64" ht="46.5" customHeight="1">
      <c r="A64" s="69" t="n">
        <v>43</v>
      </c>
      <c r="B64" s="87" t="inlineStr">
        <is>
          <t>PO20260321</t>
        </is>
      </c>
      <c r="C64" s="84" t="inlineStr">
        <is>
          <t>99PRD014662</t>
        </is>
      </c>
      <c r="D64" s="85" t="inlineStr">
        <is>
          <t>CREAM SOUR 18%</t>
        </is>
      </c>
      <c r="E64" s="86" t="inlineStr">
        <is>
          <t>サワークリーム 18%</t>
        </is>
      </c>
      <c r="F64" s="72" t="inlineStr">
        <is>
          <t>1KG/TUB</t>
        </is>
      </c>
      <c r="G64" s="140" t="n"/>
      <c r="H64" s="74" t="n">
        <v>50</v>
      </c>
      <c r="I64" s="81" t="inlineStr">
        <is>
          <t>CT</t>
        </is>
      </c>
      <c r="J64" s="76" t="n">
        <v>21030</v>
      </c>
      <c r="K64" s="82" t="inlineStr">
        <is>
          <t>JPY</t>
        </is>
      </c>
      <c r="L64" s="78">
        <f>H64*J64</f>
        <v/>
      </c>
      <c r="M64" s="90" t="n"/>
      <c r="N64" s="142" t="n"/>
      <c r="O64" s="142" t="n"/>
      <c r="P64" s="142" t="n"/>
      <c r="Q64" s="142" t="n"/>
    </row>
    <row r="65" ht="46.5" customHeight="1">
      <c r="A65" s="69" t="n">
        <v>44</v>
      </c>
      <c r="B65" s="87" t="inlineStr">
        <is>
          <t>PO20260321</t>
        </is>
      </c>
      <c r="C65" s="84" t="inlineStr">
        <is>
          <t>99PRD014773</t>
        </is>
      </c>
      <c r="D65" s="85" t="inlineStr">
        <is>
          <t>CUCUMBER ENGLISH</t>
        </is>
      </c>
      <c r="E65" s="86" t="inlineStr">
        <is>
          <t>きゅうり</t>
        </is>
      </c>
      <c r="F65" s="72" t="inlineStr">
        <is>
          <t>CT/12PC</t>
        </is>
      </c>
      <c r="G65" s="140" t="n"/>
      <c r="H65" s="74" t="n">
        <v>300</v>
      </c>
      <c r="I65" s="81" t="inlineStr">
        <is>
          <t>CT</t>
        </is>
      </c>
      <c r="J65" s="76" t="n">
        <v>12154</v>
      </c>
      <c r="K65" s="82" t="inlineStr">
        <is>
          <t>JPY</t>
        </is>
      </c>
      <c r="L65" s="78">
        <f>H65*J65</f>
        <v/>
      </c>
      <c r="M65" s="90" t="n"/>
      <c r="N65" s="142" t="n"/>
      <c r="O65" s="142" t="n"/>
      <c r="P65" s="142" t="n"/>
      <c r="Q65" s="142" t="n"/>
    </row>
    <row r="66" ht="46.5" customHeight="1">
      <c r="A66" s="69" t="n">
        <v>45</v>
      </c>
      <c r="B66" s="87" t="inlineStr">
        <is>
          <t>PO20260321</t>
        </is>
      </c>
      <c r="C66" s="84" t="inlineStr">
        <is>
          <t>99PRD014884</t>
        </is>
      </c>
      <c r="D66" s="85" t="inlineStr">
        <is>
          <t>DAIKON RADISH</t>
        </is>
      </c>
      <c r="E66" s="86" t="inlineStr">
        <is>
          <t>大根</t>
        </is>
      </c>
      <c r="F66" s="72" t="inlineStr">
        <is>
          <t>CT/10KG</t>
        </is>
      </c>
      <c r="G66" s="140" t="n"/>
      <c r="H66" s="74" t="n">
        <v>15</v>
      </c>
      <c r="I66" s="81" t="inlineStr">
        <is>
          <t>CT</t>
        </is>
      </c>
      <c r="J66" s="76" t="n">
        <v>12330</v>
      </c>
      <c r="K66" s="82" t="inlineStr">
        <is>
          <t>JPY</t>
        </is>
      </c>
      <c r="L66" s="78">
        <f>H66*J66</f>
        <v/>
      </c>
      <c r="M66" s="90" t="n"/>
      <c r="N66" s="142" t="n"/>
      <c r="O66" s="142" t="n"/>
      <c r="P66" s="142" t="n"/>
      <c r="Q66" s="142" t="n"/>
    </row>
    <row r="67" ht="46.5" customHeight="1">
      <c r="A67" s="69" t="n">
        <v>46</v>
      </c>
      <c r="B67" s="87" t="inlineStr">
        <is>
          <t>PO20260321</t>
        </is>
      </c>
      <c r="C67" s="84" t="inlineStr">
        <is>
          <t>99PRD014995</t>
        </is>
      </c>
      <c r="D67" s="85" t="inlineStr">
        <is>
          <t>DUCK BREAST MOULARD</t>
        </is>
      </c>
      <c r="E67" s="86" t="inlineStr">
        <is>
          <t>鴨胸肉 ムーラード</t>
        </is>
      </c>
      <c r="F67" s="72" t="inlineStr">
        <is>
          <t>2PC/PKT</t>
        </is>
      </c>
      <c r="G67" s="140" t="n"/>
      <c r="H67" s="74" t="n">
        <v>30</v>
      </c>
      <c r="I67" s="81" t="inlineStr">
        <is>
          <t>CT</t>
        </is>
      </c>
      <c r="J67" s="76" t="n">
        <v>7065</v>
      </c>
      <c r="K67" s="82" t="inlineStr">
        <is>
          <t>JPY</t>
        </is>
      </c>
      <c r="L67" s="78">
        <f>H67*J67</f>
        <v/>
      </c>
      <c r="M67" s="90" t="n"/>
      <c r="N67" s="142" t="n"/>
      <c r="O67" s="142" t="n"/>
      <c r="P67" s="142" t="n"/>
      <c r="Q67" s="142" t="n"/>
    </row>
    <row r="68" ht="46.5" customHeight="1">
      <c r="A68" s="69" t="n">
        <v>47</v>
      </c>
      <c r="B68" s="87" t="inlineStr">
        <is>
          <t>PO20260321</t>
        </is>
      </c>
      <c r="C68" s="84" t="inlineStr">
        <is>
          <t>99PRD015106</t>
        </is>
      </c>
      <c r="D68" s="85" t="inlineStr">
        <is>
          <t>EDAMAME FROZEN SHELLED</t>
        </is>
      </c>
      <c r="E68" s="86" t="inlineStr">
        <is>
          <t>枝豆 冷凍</t>
        </is>
      </c>
      <c r="F68" s="72" t="inlineStr">
        <is>
          <t>1KG/BAG</t>
        </is>
      </c>
      <c r="G68" s="140" t="n"/>
      <c r="H68" s="74" t="n">
        <v>100</v>
      </c>
      <c r="I68" s="81" t="inlineStr">
        <is>
          <t>CT</t>
        </is>
      </c>
      <c r="J68" s="76" t="n">
        <v>8948</v>
      </c>
      <c r="K68" s="82" t="inlineStr">
        <is>
          <t>JPY</t>
        </is>
      </c>
      <c r="L68" s="78">
        <f>H68*J68</f>
        <v/>
      </c>
      <c r="M68" s="90" t="n"/>
      <c r="N68" s="142" t="n"/>
      <c r="O68" s="142" t="n"/>
      <c r="P68" s="142" t="n"/>
      <c r="Q68" s="142" t="n"/>
    </row>
    <row r="69" ht="46.5" customHeight="1">
      <c r="A69" s="69" t="n">
        <v>48</v>
      </c>
      <c r="B69" s="87" t="inlineStr">
        <is>
          <t>PO20260321</t>
        </is>
      </c>
      <c r="C69" s="84" t="inlineStr">
        <is>
          <t>99PRD015217</t>
        </is>
      </c>
      <c r="D69" s="85" t="inlineStr">
        <is>
          <t>EGG WHOLE LARGE FREE RANGE</t>
        </is>
      </c>
      <c r="E69" s="86" t="inlineStr">
        <is>
          <t>卵 Lサイズ 平飼い</t>
        </is>
      </c>
      <c r="F69" s="72" t="inlineStr">
        <is>
          <t>30PC/CS</t>
        </is>
      </c>
      <c r="G69" s="140" t="n"/>
      <c r="H69" s="74" t="n">
        <v>150</v>
      </c>
      <c r="I69" s="81" t="inlineStr">
        <is>
          <t>CT</t>
        </is>
      </c>
      <c r="J69" s="76" t="n">
        <v>22598</v>
      </c>
      <c r="K69" s="82" t="inlineStr">
        <is>
          <t>JPY</t>
        </is>
      </c>
      <c r="L69" s="78">
        <f>H69*J69</f>
        <v/>
      </c>
      <c r="M69" s="90" t="n"/>
      <c r="N69" s="142" t="n"/>
      <c r="O69" s="142" t="n"/>
      <c r="P69" s="142" t="n"/>
      <c r="Q69" s="142" t="n"/>
    </row>
    <row r="70" ht="46.5" customHeight="1">
      <c r="A70" s="69" t="n">
        <v>49</v>
      </c>
      <c r="B70" s="87" t="inlineStr">
        <is>
          <t>PO20260321</t>
        </is>
      </c>
      <c r="C70" s="84" t="inlineStr">
        <is>
          <t>99PRD015328</t>
        </is>
      </c>
      <c r="D70" s="85" t="inlineStr">
        <is>
          <t>EGGPLANT JAPANESE</t>
        </is>
      </c>
      <c r="E70" s="86" t="inlineStr">
        <is>
          <t>なす</t>
        </is>
      </c>
      <c r="F70" s="72" t="inlineStr">
        <is>
          <t>CT/4KG</t>
        </is>
      </c>
      <c r="G70" s="140" t="n"/>
      <c r="H70" s="74" t="n">
        <v>100</v>
      </c>
      <c r="I70" s="81" t="inlineStr">
        <is>
          <t>CT</t>
        </is>
      </c>
      <c r="J70" s="76" t="n">
        <v>2539</v>
      </c>
      <c r="K70" s="82" t="inlineStr">
        <is>
          <t>JPY</t>
        </is>
      </c>
      <c r="L70" s="78">
        <f>H70*J70</f>
        <v/>
      </c>
      <c r="M70" s="90" t="n"/>
      <c r="N70" s="142" t="n"/>
      <c r="O70" s="142" t="n"/>
      <c r="P70" s="142" t="n"/>
      <c r="Q70" s="142" t="n"/>
    </row>
    <row r="71" ht="46.5" customHeight="1">
      <c r="A71" s="69" t="n">
        <v>50</v>
      </c>
      <c r="B71" s="87" t="inlineStr">
        <is>
          <t>PO20260321</t>
        </is>
      </c>
      <c r="C71" s="84" t="inlineStr">
        <is>
          <t>99PRD015439</t>
        </is>
      </c>
      <c r="D71" s="85" t="inlineStr">
        <is>
          <t>FENNEL BULB FRESH</t>
        </is>
      </c>
      <c r="E71" s="86" t="inlineStr">
        <is>
          <t>フェンネル</t>
        </is>
      </c>
      <c r="F71" s="72" t="inlineStr">
        <is>
          <t>CT/5KG</t>
        </is>
      </c>
      <c r="G71" s="140" t="n"/>
      <c r="H71" s="74" t="n">
        <v>80</v>
      </c>
      <c r="I71" s="81" t="inlineStr">
        <is>
          <t>CT</t>
        </is>
      </c>
      <c r="J71" s="76" t="n">
        <v>21006</v>
      </c>
      <c r="K71" s="82" t="inlineStr">
        <is>
          <t>JPY</t>
        </is>
      </c>
      <c r="L71" s="78">
        <f>H71*J71</f>
        <v/>
      </c>
      <c r="M71" s="90" t="n"/>
      <c r="N71" s="142" t="n"/>
      <c r="O71" s="142" t="n"/>
      <c r="P71" s="142" t="n"/>
      <c r="Q71" s="142" t="n"/>
    </row>
    <row r="72" ht="46.5" customHeight="1">
      <c r="A72" s="69" t="n">
        <v>51</v>
      </c>
      <c r="B72" s="87" t="inlineStr">
        <is>
          <t>PO20260321</t>
        </is>
      </c>
      <c r="C72" s="84" t="inlineStr">
        <is>
          <t>99PRD015550</t>
        </is>
      </c>
      <c r="D72" s="85" t="inlineStr">
        <is>
          <t>FLOUR ALL PURPOSE</t>
        </is>
      </c>
      <c r="E72" s="86" t="inlineStr">
        <is>
          <t>薄力粉</t>
        </is>
      </c>
      <c r="F72" s="72" t="inlineStr">
        <is>
          <t>25KG/BAG</t>
        </is>
      </c>
      <c r="G72" s="140" t="n"/>
      <c r="H72" s="74" t="n">
        <v>15</v>
      </c>
      <c r="I72" s="81" t="inlineStr">
        <is>
          <t>CT</t>
        </is>
      </c>
      <c r="J72" s="76" t="n">
        <v>17702</v>
      </c>
      <c r="K72" s="82" t="inlineStr">
        <is>
          <t>JPY</t>
        </is>
      </c>
      <c r="L72" s="78">
        <f>H72*J72</f>
        <v/>
      </c>
      <c r="M72" s="90" t="n"/>
      <c r="N72" s="142" t="n"/>
      <c r="O72" s="142" t="n"/>
      <c r="P72" s="142" t="n"/>
      <c r="Q72" s="142" t="n"/>
    </row>
    <row r="73" ht="46.5" customHeight="1">
      <c r="A73" s="69" t="n">
        <v>52</v>
      </c>
      <c r="B73" s="87" t="inlineStr">
        <is>
          <t>PO20260321</t>
        </is>
      </c>
      <c r="C73" s="84" t="inlineStr">
        <is>
          <t>99PRD015661</t>
        </is>
      </c>
      <c r="D73" s="85" t="inlineStr">
        <is>
          <t>GARLIC PEELED WHOLE</t>
        </is>
      </c>
      <c r="E73" s="86" t="inlineStr">
        <is>
          <t>にんにく 皮むき</t>
        </is>
      </c>
      <c r="F73" s="72" t="inlineStr">
        <is>
          <t>1KG/BAG</t>
        </is>
      </c>
      <c r="G73" s="140" t="n"/>
      <c r="H73" s="74" t="n">
        <v>150</v>
      </c>
      <c r="I73" s="81" t="inlineStr">
        <is>
          <t>CT</t>
        </is>
      </c>
      <c r="J73" s="76" t="n">
        <v>8221</v>
      </c>
      <c r="K73" s="82" t="inlineStr">
        <is>
          <t>JPY</t>
        </is>
      </c>
      <c r="L73" s="78">
        <f>H73*J73</f>
        <v/>
      </c>
      <c r="M73" s="90" t="n"/>
      <c r="N73" s="142" t="n"/>
      <c r="O73" s="142" t="n"/>
      <c r="P73" s="142" t="n"/>
      <c r="Q73" s="142" t="n"/>
    </row>
    <row r="74" ht="46.5" customHeight="1">
      <c r="A74" s="69" t="n">
        <v>53</v>
      </c>
      <c r="B74" s="87" t="inlineStr">
        <is>
          <t>PO20260321</t>
        </is>
      </c>
      <c r="C74" s="84" t="inlineStr">
        <is>
          <t>99PRD015772</t>
        </is>
      </c>
      <c r="D74" s="85" t="inlineStr">
        <is>
          <t>GINGER FRESH LARGE</t>
        </is>
      </c>
      <c r="E74" s="86" t="inlineStr">
        <is>
          <t>生姜 大</t>
        </is>
      </c>
      <c r="F74" s="72" t="inlineStr">
        <is>
          <t>CT/5KG</t>
        </is>
      </c>
      <c r="G74" s="140" t="n"/>
      <c r="H74" s="74" t="n">
        <v>15</v>
      </c>
      <c r="I74" s="81" t="inlineStr">
        <is>
          <t>CT</t>
        </is>
      </c>
      <c r="J74" s="76" t="n">
        <v>15347</v>
      </c>
      <c r="K74" s="82" t="inlineStr">
        <is>
          <t>JPY</t>
        </is>
      </c>
      <c r="L74" s="78">
        <f>H74*J74</f>
        <v/>
      </c>
      <c r="M74" s="90" t="n"/>
      <c r="N74" s="142" t="n"/>
      <c r="O74" s="142" t="n"/>
      <c r="P74" s="142" t="n"/>
      <c r="Q74" s="142" t="n"/>
    </row>
    <row r="75" ht="46.5" customHeight="1">
      <c r="A75" s="69" t="n">
        <v>54</v>
      </c>
      <c r="B75" s="87" t="inlineStr">
        <is>
          <t>PO20260321</t>
        </is>
      </c>
      <c r="C75" s="84" t="inlineStr">
        <is>
          <t>99PRD015883</t>
        </is>
      </c>
      <c r="D75" s="85" t="inlineStr">
        <is>
          <t>GRAPE GREEN SEEDLESS</t>
        </is>
      </c>
      <c r="E75" s="86" t="inlineStr">
        <is>
          <t>グリーンシードレスグレープ</t>
        </is>
      </c>
      <c r="F75" s="72" t="inlineStr">
        <is>
          <t>CT/8.2KG</t>
        </is>
      </c>
      <c r="G75" s="140" t="n"/>
      <c r="H75" s="74" t="n">
        <v>40</v>
      </c>
      <c r="I75" s="81" t="inlineStr">
        <is>
          <t>CT</t>
        </is>
      </c>
      <c r="J75" s="76" t="n">
        <v>9045</v>
      </c>
      <c r="K75" s="82" t="inlineStr">
        <is>
          <t>JPY</t>
        </is>
      </c>
      <c r="L75" s="78">
        <f>H75*J75</f>
        <v/>
      </c>
      <c r="M75" s="90" t="n"/>
      <c r="N75" s="142" t="n"/>
      <c r="O75" s="142" t="n"/>
      <c r="P75" s="142" t="n"/>
      <c r="Q75" s="142" t="n"/>
    </row>
    <row r="76" ht="46.5" customHeight="1">
      <c r="A76" s="69" t="n">
        <v>55</v>
      </c>
      <c r="B76" s="87" t="inlineStr">
        <is>
          <t>PO20260321</t>
        </is>
      </c>
      <c r="C76" s="84" t="inlineStr">
        <is>
          <t>99PRD015994</t>
        </is>
      </c>
      <c r="D76" s="85" t="inlineStr">
        <is>
          <t>GRAPEFRUIT RUBY RED</t>
        </is>
      </c>
      <c r="E76" s="86" t="inlineStr">
        <is>
          <t>ルビーグレープフルーツ</t>
        </is>
      </c>
      <c r="F76" s="72" t="inlineStr">
        <is>
          <t>CT/17KG</t>
        </is>
      </c>
      <c r="G76" s="140" t="n"/>
      <c r="H76" s="74" t="n">
        <v>500</v>
      </c>
      <c r="I76" s="81" t="inlineStr">
        <is>
          <t>CT</t>
        </is>
      </c>
      <c r="J76" s="76" t="n">
        <v>21171</v>
      </c>
      <c r="K76" s="82" t="inlineStr">
        <is>
          <t>JPY</t>
        </is>
      </c>
      <c r="L76" s="78">
        <f>H76*J76</f>
        <v/>
      </c>
      <c r="M76" s="90" t="n"/>
      <c r="N76" s="142" t="n"/>
      <c r="O76" s="142" t="n"/>
      <c r="P76" s="142" t="n"/>
      <c r="Q76" s="142" t="n"/>
    </row>
    <row r="77" ht="46.5" customHeight="1">
      <c r="A77" s="69" t="n">
        <v>56</v>
      </c>
      <c r="B77" s="87" t="inlineStr">
        <is>
          <t>PO20260321</t>
        </is>
      </c>
      <c r="C77" s="84" t="inlineStr">
        <is>
          <t>99PRD016105</t>
        </is>
      </c>
      <c r="D77" s="85" t="inlineStr">
        <is>
          <t>HAM PARMA AGED 18M</t>
        </is>
      </c>
      <c r="E77" s="86" t="inlineStr">
        <is>
          <t>パルマハム 18ヶ月熟成</t>
        </is>
      </c>
      <c r="F77" s="72" t="inlineStr">
        <is>
          <t>7KG/LEG</t>
        </is>
      </c>
      <c r="G77" s="140" t="n"/>
      <c r="H77" s="74" t="n">
        <v>150</v>
      </c>
      <c r="I77" s="81" t="inlineStr">
        <is>
          <t>CT</t>
        </is>
      </c>
      <c r="J77" s="76" t="n">
        <v>18450</v>
      </c>
      <c r="K77" s="82" t="inlineStr">
        <is>
          <t>JPY</t>
        </is>
      </c>
      <c r="L77" s="78">
        <f>H77*J77</f>
        <v/>
      </c>
      <c r="M77" s="90" t="n"/>
      <c r="N77" s="142" t="n"/>
      <c r="O77" s="142" t="n"/>
      <c r="P77" s="142" t="n"/>
      <c r="Q77" s="142" t="n"/>
    </row>
    <row r="78" ht="46.5" customHeight="1">
      <c r="A78" s="69" t="n">
        <v>57</v>
      </c>
      <c r="B78" s="87" t="inlineStr">
        <is>
          <t>PO20260321</t>
        </is>
      </c>
      <c r="C78" s="84" t="inlineStr">
        <is>
          <t>99PRD016216</t>
        </is>
      </c>
      <c r="D78" s="85" t="inlineStr">
        <is>
          <t>HERB MIX FRESH</t>
        </is>
      </c>
      <c r="E78" s="86" t="inlineStr">
        <is>
          <t>ハーブミックス フレッシュ</t>
        </is>
      </c>
      <c r="F78" s="72" t="inlineStr">
        <is>
          <t>100G/PKT</t>
        </is>
      </c>
      <c r="G78" s="140" t="n"/>
      <c r="H78" s="74" t="n">
        <v>20</v>
      </c>
      <c r="I78" s="81" t="inlineStr">
        <is>
          <t>CT</t>
        </is>
      </c>
      <c r="J78" s="76" t="n">
        <v>22633</v>
      </c>
      <c r="K78" s="82" t="inlineStr">
        <is>
          <t>JPY</t>
        </is>
      </c>
      <c r="L78" s="78">
        <f>H78*J78</f>
        <v/>
      </c>
      <c r="M78" s="90" t="n"/>
      <c r="N78" s="142" t="n"/>
      <c r="O78" s="142" t="n"/>
      <c r="P78" s="142" t="n"/>
      <c r="Q78" s="142" t="n"/>
    </row>
    <row r="79" ht="46.5" customHeight="1">
      <c r="A79" s="69" t="n">
        <v>58</v>
      </c>
      <c r="B79" s="87" t="inlineStr">
        <is>
          <t>PO20260321</t>
        </is>
      </c>
      <c r="C79" s="84" t="inlineStr">
        <is>
          <t>99PRD016327</t>
        </is>
      </c>
      <c r="D79" s="85" t="inlineStr">
        <is>
          <t>HONEY MANUKA UMF15+</t>
        </is>
      </c>
      <c r="E79" s="86" t="inlineStr">
        <is>
          <t>マヌカハニー UMF15+</t>
        </is>
      </c>
      <c r="F79" s="72" t="inlineStr">
        <is>
          <t>500G/JAR</t>
        </is>
      </c>
      <c r="G79" s="140" t="n"/>
      <c r="H79" s="74" t="n">
        <v>30</v>
      </c>
      <c r="I79" s="81" t="inlineStr">
        <is>
          <t>CT</t>
        </is>
      </c>
      <c r="J79" s="76" t="n">
        <v>2032</v>
      </c>
      <c r="K79" s="82" t="inlineStr">
        <is>
          <t>JPY</t>
        </is>
      </c>
      <c r="L79" s="78">
        <f>H79*J79</f>
        <v/>
      </c>
      <c r="M79" s="90" t="n"/>
      <c r="N79" s="142" t="n"/>
      <c r="O79" s="142" t="n"/>
      <c r="P79" s="142" t="n"/>
      <c r="Q79" s="142" t="n"/>
    </row>
    <row r="80" ht="46.5" customHeight="1">
      <c r="A80" s="69" t="n">
        <v>59</v>
      </c>
      <c r="B80" s="87" t="inlineStr">
        <is>
          <t>PO20260321</t>
        </is>
      </c>
      <c r="C80" s="84" t="inlineStr">
        <is>
          <t>99PRD016438</t>
        </is>
      </c>
      <c r="D80" s="85" t="inlineStr">
        <is>
          <t>KALE CURLY FRESH</t>
        </is>
      </c>
      <c r="E80" s="86" t="inlineStr">
        <is>
          <t>カーリーケール</t>
        </is>
      </c>
      <c r="F80" s="72" t="inlineStr">
        <is>
          <t>250G/BAG</t>
        </is>
      </c>
      <c r="G80" s="140" t="n"/>
      <c r="H80" s="74" t="n">
        <v>20</v>
      </c>
      <c r="I80" s="81" t="inlineStr">
        <is>
          <t>CT</t>
        </is>
      </c>
      <c r="J80" s="76" t="n">
        <v>1251</v>
      </c>
      <c r="K80" s="82" t="inlineStr">
        <is>
          <t>JPY</t>
        </is>
      </c>
      <c r="L80" s="78">
        <f>H80*J80</f>
        <v/>
      </c>
      <c r="M80" s="90" t="n"/>
      <c r="N80" s="142" t="n"/>
      <c r="O80" s="142" t="n"/>
      <c r="P80" s="142" t="n"/>
      <c r="Q80" s="142" t="n"/>
    </row>
    <row r="81" ht="46.5" customHeight="1">
      <c r="A81" s="69" t="n">
        <v>60</v>
      </c>
      <c r="B81" s="87" t="inlineStr">
        <is>
          <t>PO20260321</t>
        </is>
      </c>
      <c r="C81" s="84" t="inlineStr">
        <is>
          <t>99PRD016549</t>
        </is>
      </c>
      <c r="D81" s="85" t="inlineStr">
        <is>
          <t>KIWIFRUIT GREEN</t>
        </is>
      </c>
      <c r="E81" s="86" t="inlineStr">
        <is>
          <t>キウイ</t>
        </is>
      </c>
      <c r="F81" s="72" t="inlineStr">
        <is>
          <t>33CT/3.6KG</t>
        </is>
      </c>
      <c r="G81" s="140" t="n"/>
      <c r="H81" s="74" t="n">
        <v>200</v>
      </c>
      <c r="I81" s="81" t="inlineStr">
        <is>
          <t>CT</t>
        </is>
      </c>
      <c r="J81" s="76" t="n">
        <v>10536</v>
      </c>
      <c r="K81" s="82" t="inlineStr">
        <is>
          <t>JPY</t>
        </is>
      </c>
      <c r="L81" s="78">
        <f>H81*J81</f>
        <v/>
      </c>
      <c r="M81" s="90" t="n"/>
      <c r="N81" s="142" t="n"/>
      <c r="O81" s="142" t="n"/>
      <c r="P81" s="142" t="n"/>
      <c r="Q81" s="142" t="n"/>
    </row>
    <row r="82" ht="46.5" customHeight="1">
      <c r="A82" s="69" t="n">
        <v>61</v>
      </c>
      <c r="B82" s="87" t="inlineStr">
        <is>
          <t>PO20260321</t>
        </is>
      </c>
      <c r="C82" s="84" t="inlineStr">
        <is>
          <t>99PRD016660</t>
        </is>
      </c>
      <c r="D82" s="85" t="inlineStr">
        <is>
          <t>LAMB RACK FRENCHED</t>
        </is>
      </c>
      <c r="E82" s="86" t="inlineStr">
        <is>
          <t>ラムラック フレンチ</t>
        </is>
      </c>
      <c r="F82" s="72" t="inlineStr">
        <is>
          <t>1.2KG/PC</t>
        </is>
      </c>
      <c r="G82" s="140" t="n"/>
      <c r="H82" s="74" t="n">
        <v>40</v>
      </c>
      <c r="I82" s="81" t="inlineStr">
        <is>
          <t>CT</t>
        </is>
      </c>
      <c r="J82" s="76" t="n">
        <v>8973</v>
      </c>
      <c r="K82" s="82" t="inlineStr">
        <is>
          <t>JPY</t>
        </is>
      </c>
      <c r="L82" s="78">
        <f>H82*J82</f>
        <v/>
      </c>
      <c r="M82" s="90" t="n"/>
      <c r="N82" s="142" t="n"/>
      <c r="O82" s="142" t="n"/>
      <c r="P82" s="142" t="n"/>
      <c r="Q82" s="142" t="n"/>
    </row>
    <row r="83" ht="46.5" customHeight="1">
      <c r="A83" s="69" t="n">
        <v>62</v>
      </c>
      <c r="B83" s="87" t="inlineStr">
        <is>
          <t>PO20260321</t>
        </is>
      </c>
      <c r="C83" s="84" t="inlineStr">
        <is>
          <t>99PRD016771</t>
        </is>
      </c>
      <c r="D83" s="85" t="inlineStr">
        <is>
          <t>LEEK LARGE</t>
        </is>
      </c>
      <c r="E83" s="86" t="inlineStr">
        <is>
          <t>ネギ 大</t>
        </is>
      </c>
      <c r="F83" s="72" t="inlineStr">
        <is>
          <t>CT/5KG</t>
        </is>
      </c>
      <c r="G83" s="140" t="n"/>
      <c r="H83" s="74" t="n">
        <v>10</v>
      </c>
      <c r="I83" s="81" t="inlineStr">
        <is>
          <t>CT</t>
        </is>
      </c>
      <c r="J83" s="76" t="n">
        <v>7113</v>
      </c>
      <c r="K83" s="82" t="inlineStr">
        <is>
          <t>JPY</t>
        </is>
      </c>
      <c r="L83" s="78">
        <f>H83*J83</f>
        <v/>
      </c>
      <c r="M83" s="90" t="n"/>
      <c r="N83" s="142" t="n"/>
      <c r="O83" s="142" t="n"/>
      <c r="P83" s="142" t="n"/>
      <c r="Q83" s="142" t="n"/>
    </row>
    <row r="84" ht="46.5" customHeight="1">
      <c r="A84" s="69" t="n">
        <v>63</v>
      </c>
      <c r="B84" s="87" t="inlineStr">
        <is>
          <t>PO20260321</t>
        </is>
      </c>
      <c r="C84" s="84" t="inlineStr">
        <is>
          <t>99PRD016882</t>
        </is>
      </c>
      <c r="D84" s="85" t="inlineStr">
        <is>
          <t>LEMON CHOICE 235CT</t>
        </is>
      </c>
      <c r="E84" s="86" t="inlineStr">
        <is>
          <t>レモン</t>
        </is>
      </c>
      <c r="F84" s="72" t="inlineStr">
        <is>
          <t>165CT/17KG</t>
        </is>
      </c>
      <c r="G84" s="140" t="n"/>
      <c r="H84" s="74" t="n">
        <v>500</v>
      </c>
      <c r="I84" s="81" t="inlineStr">
        <is>
          <t>CT</t>
        </is>
      </c>
      <c r="J84" s="76" t="n">
        <v>18785</v>
      </c>
      <c r="K84" s="82" t="inlineStr">
        <is>
          <t>JPY</t>
        </is>
      </c>
      <c r="L84" s="78">
        <f>H84*J84</f>
        <v/>
      </c>
      <c r="M84" s="90" t="n"/>
      <c r="N84" s="142" t="n"/>
      <c r="O84" s="142" t="n"/>
      <c r="P84" s="142" t="n"/>
      <c r="Q84" s="142" t="n"/>
    </row>
    <row r="85" ht="46.5" customHeight="1">
      <c r="A85" s="69" t="n">
        <v>64</v>
      </c>
      <c r="B85" s="87" t="inlineStr">
        <is>
          <t>PO20260321</t>
        </is>
      </c>
      <c r="C85" s="84" t="inlineStr">
        <is>
          <t>99PRD016993</t>
        </is>
      </c>
      <c r="D85" s="85" t="inlineStr">
        <is>
          <t>LETTUCE BUTTER</t>
        </is>
      </c>
      <c r="E85" s="86" t="inlineStr">
        <is>
          <t>バターレタス</t>
        </is>
      </c>
      <c r="F85" s="72" t="inlineStr">
        <is>
          <t>CT/12PC</t>
        </is>
      </c>
      <c r="G85" s="140" t="n"/>
      <c r="H85" s="74" t="n">
        <v>500</v>
      </c>
      <c r="I85" s="81" t="inlineStr">
        <is>
          <t>CT</t>
        </is>
      </c>
      <c r="J85" s="76" t="n">
        <v>23724</v>
      </c>
      <c r="K85" s="82" t="inlineStr">
        <is>
          <t>JPY</t>
        </is>
      </c>
      <c r="L85" s="78">
        <f>H85*J85</f>
        <v/>
      </c>
      <c r="M85" s="90" t="n"/>
      <c r="N85" s="142" t="n"/>
      <c r="O85" s="142" t="n"/>
      <c r="P85" s="142" t="n"/>
      <c r="Q85" s="142" t="n"/>
    </row>
    <row r="86" ht="46.5" customHeight="1">
      <c r="A86" s="69" t="n">
        <v>65</v>
      </c>
      <c r="B86" s="87" t="inlineStr">
        <is>
          <t>PO20260321</t>
        </is>
      </c>
      <c r="C86" s="84" t="inlineStr">
        <is>
          <t>99PRD017104</t>
        </is>
      </c>
      <c r="D86" s="85" t="inlineStr">
        <is>
          <t>LETTUCE ICEBERG</t>
        </is>
      </c>
      <c r="E86" s="86" t="inlineStr">
        <is>
          <t>アイスバーグレタス</t>
        </is>
      </c>
      <c r="F86" s="72" t="inlineStr">
        <is>
          <t>16-22CT/8KG</t>
        </is>
      </c>
      <c r="G86" s="140" t="n"/>
      <c r="H86" s="74" t="n">
        <v>30</v>
      </c>
      <c r="I86" s="81" t="inlineStr">
        <is>
          <t>CT</t>
        </is>
      </c>
      <c r="J86" s="76" t="n">
        <v>7167</v>
      </c>
      <c r="K86" s="82" t="inlineStr">
        <is>
          <t>JPY</t>
        </is>
      </c>
      <c r="L86" s="78">
        <f>H86*J86</f>
        <v/>
      </c>
      <c r="M86" s="90" t="n"/>
      <c r="N86" s="142" t="n"/>
      <c r="O86" s="142" t="n"/>
      <c r="P86" s="142" t="n"/>
      <c r="Q86" s="142" t="n"/>
    </row>
    <row r="87" ht="46.5" customHeight="1">
      <c r="A87" s="69" t="n">
        <v>66</v>
      </c>
      <c r="B87" s="87" t="inlineStr">
        <is>
          <t>PO20260321</t>
        </is>
      </c>
      <c r="C87" s="84" t="inlineStr">
        <is>
          <t>99PRD017215</t>
        </is>
      </c>
      <c r="D87" s="85" t="inlineStr">
        <is>
          <t>LETTUCE ROMAINE</t>
        </is>
      </c>
      <c r="E87" s="86" t="inlineStr">
        <is>
          <t>ロメインレタス</t>
        </is>
      </c>
      <c r="F87" s="72" t="inlineStr">
        <is>
          <t>CT/6KG</t>
        </is>
      </c>
      <c r="G87" s="140" t="n"/>
      <c r="H87" s="74" t="n">
        <v>100</v>
      </c>
      <c r="I87" s="81" t="inlineStr">
        <is>
          <t>CT</t>
        </is>
      </c>
      <c r="J87" s="76" t="n">
        <v>16558</v>
      </c>
      <c r="K87" s="82" t="inlineStr">
        <is>
          <t>JPY</t>
        </is>
      </c>
      <c r="L87" s="78">
        <f>H87*J87</f>
        <v/>
      </c>
      <c r="M87" s="90" t="n"/>
      <c r="N87" s="142" t="n"/>
      <c r="O87" s="142" t="n"/>
      <c r="P87" s="142" t="n"/>
      <c r="Q87" s="142" t="n"/>
    </row>
    <row r="88" ht="46.5" customHeight="1">
      <c r="A88" s="69" t="n">
        <v>67</v>
      </c>
      <c r="B88" s="87" t="inlineStr">
        <is>
          <t>PO20260321</t>
        </is>
      </c>
      <c r="C88" s="84" t="inlineStr">
        <is>
          <t>99PRD017326</t>
        </is>
      </c>
      <c r="D88" s="85" t="inlineStr">
        <is>
          <t>LIME 250CT</t>
        </is>
      </c>
      <c r="E88" s="86" t="inlineStr">
        <is>
          <t>ライム</t>
        </is>
      </c>
      <c r="F88" s="72" t="inlineStr">
        <is>
          <t>CT/17KG</t>
        </is>
      </c>
      <c r="G88" s="140" t="n"/>
      <c r="H88" s="74" t="n">
        <v>40</v>
      </c>
      <c r="I88" s="81" t="inlineStr">
        <is>
          <t>CT</t>
        </is>
      </c>
      <c r="J88" s="76" t="n">
        <v>21264</v>
      </c>
      <c r="K88" s="82" t="inlineStr">
        <is>
          <t>JPY</t>
        </is>
      </c>
      <c r="L88" s="78">
        <f>H88*J88</f>
        <v/>
      </c>
      <c r="M88" s="90" t="n"/>
      <c r="N88" s="142" t="n"/>
      <c r="O88" s="142" t="n"/>
      <c r="P88" s="142" t="n"/>
      <c r="Q88" s="142" t="n"/>
    </row>
    <row r="89" ht="46.5" customHeight="1">
      <c r="A89" s="69" t="n">
        <v>68</v>
      </c>
      <c r="B89" s="87" t="inlineStr">
        <is>
          <t>PO20260321</t>
        </is>
      </c>
      <c r="C89" s="84" t="inlineStr">
        <is>
          <t>99PRD017437</t>
        </is>
      </c>
      <c r="D89" s="85" t="inlineStr">
        <is>
          <t>LOBSTER TAIL 6-7OZ</t>
        </is>
      </c>
      <c r="E89" s="86" t="inlineStr">
        <is>
          <t>ロブスターテール 6-7oz</t>
        </is>
      </c>
      <c r="F89" s="72" t="inlineStr">
        <is>
          <t>10PC/BOX</t>
        </is>
      </c>
      <c r="G89" s="140" t="n"/>
      <c r="H89" s="74" t="n">
        <v>50</v>
      </c>
      <c r="I89" s="81" t="inlineStr">
        <is>
          <t>CT</t>
        </is>
      </c>
      <c r="J89" s="76" t="n">
        <v>4881</v>
      </c>
      <c r="K89" s="82" t="inlineStr">
        <is>
          <t>JPY</t>
        </is>
      </c>
      <c r="L89" s="78">
        <f>H89*J89</f>
        <v/>
      </c>
      <c r="M89" s="90" t="n"/>
      <c r="N89" s="142" t="n"/>
      <c r="O89" s="142" t="n"/>
      <c r="P89" s="142" t="n"/>
      <c r="Q89" s="142" t="n"/>
    </row>
    <row r="90" ht="46.5" customHeight="1">
      <c r="A90" s="69" t="n">
        <v>69</v>
      </c>
      <c r="B90" s="87" t="inlineStr">
        <is>
          <t>PO20260321</t>
        </is>
      </c>
      <c r="C90" s="84" t="inlineStr">
        <is>
          <t>99PRD017548</t>
        </is>
      </c>
      <c r="D90" s="85" t="inlineStr">
        <is>
          <t>MANGO 3/4 RIPE</t>
        </is>
      </c>
      <c r="E90" s="86" t="inlineStr">
        <is>
          <t>マンゴ 3/4熟</t>
        </is>
      </c>
      <c r="F90" s="72" t="inlineStr">
        <is>
          <t>18CT/7KG</t>
        </is>
      </c>
      <c r="G90" s="140" t="n"/>
      <c r="H90" s="74" t="n">
        <v>25</v>
      </c>
      <c r="I90" s="81" t="inlineStr">
        <is>
          <t>CT</t>
        </is>
      </c>
      <c r="J90" s="76" t="n">
        <v>4775</v>
      </c>
      <c r="K90" s="82" t="inlineStr">
        <is>
          <t>JPY</t>
        </is>
      </c>
      <c r="L90" s="78">
        <f>H90*J90</f>
        <v/>
      </c>
      <c r="M90" s="90" t="n"/>
      <c r="N90" s="142" t="n"/>
      <c r="O90" s="142" t="n"/>
      <c r="P90" s="142" t="n"/>
      <c r="Q90" s="142" t="n"/>
    </row>
    <row r="91" ht="46.5" customHeight="1">
      <c r="A91" s="69" t="n">
        <v>70</v>
      </c>
      <c r="B91" s="87" t="inlineStr">
        <is>
          <t>PO20260321</t>
        </is>
      </c>
      <c r="C91" s="84" t="inlineStr">
        <is>
          <t>99PRD017659</t>
        </is>
      </c>
      <c r="D91" s="85" t="inlineStr">
        <is>
          <t>MELON CANTALOUPE JUMBO</t>
        </is>
      </c>
      <c r="E91" s="86" t="inlineStr">
        <is>
          <t>メロン（赤身）</t>
        </is>
      </c>
      <c r="F91" s="72" t="inlineStr">
        <is>
          <t>5-7CT/13.5KG</t>
        </is>
      </c>
      <c r="G91" s="140" t="n"/>
      <c r="H91" s="74" t="n">
        <v>20</v>
      </c>
      <c r="I91" s="81" t="inlineStr">
        <is>
          <t>CT</t>
        </is>
      </c>
      <c r="J91" s="76" t="n">
        <v>24611</v>
      </c>
      <c r="K91" s="82" t="inlineStr">
        <is>
          <t>JPY</t>
        </is>
      </c>
      <c r="L91" s="78">
        <f>H91*J91</f>
        <v/>
      </c>
      <c r="M91" s="90" t="n"/>
      <c r="N91" s="142" t="n"/>
      <c r="O91" s="142" t="n"/>
      <c r="P91" s="142" t="n"/>
      <c r="Q91" s="142" t="n"/>
    </row>
    <row r="92" ht="46.5" customHeight="1">
      <c r="A92" s="69" t="n">
        <v>71</v>
      </c>
      <c r="B92" s="87" t="inlineStr">
        <is>
          <t>PO20260321</t>
        </is>
      </c>
      <c r="C92" s="84" t="inlineStr">
        <is>
          <t>99PRD017770</t>
        </is>
      </c>
      <c r="D92" s="85" t="inlineStr">
        <is>
          <t>MELON HONEYDEW JUMBO</t>
        </is>
      </c>
      <c r="E92" s="86" t="inlineStr">
        <is>
          <t>メロン（青身）</t>
        </is>
      </c>
      <c r="F92" s="72" t="inlineStr">
        <is>
          <t>5-6CT/11KG</t>
        </is>
      </c>
      <c r="G92" s="140" t="n"/>
      <c r="H92" s="74" t="n">
        <v>60</v>
      </c>
      <c r="I92" s="81" t="inlineStr">
        <is>
          <t>CT</t>
        </is>
      </c>
      <c r="J92" s="76" t="n">
        <v>17861</v>
      </c>
      <c r="K92" s="82" t="inlineStr">
        <is>
          <t>JPY</t>
        </is>
      </c>
      <c r="L92" s="78">
        <f>H92*J92</f>
        <v/>
      </c>
      <c r="M92" s="90" t="n"/>
      <c r="N92" s="142" t="n"/>
      <c r="O92" s="142" t="n"/>
      <c r="P92" s="142" t="n"/>
      <c r="Q92" s="142" t="n"/>
    </row>
    <row r="93" ht="46.5" customHeight="1">
      <c r="A93" s="69" t="n">
        <v>72</v>
      </c>
      <c r="B93" s="87" t="inlineStr">
        <is>
          <t>PO20260321</t>
        </is>
      </c>
      <c r="C93" s="84" t="inlineStr">
        <is>
          <t>99PRD017881</t>
        </is>
      </c>
      <c r="D93" s="85" t="inlineStr">
        <is>
          <t>MILK OAT UNSWEETENED</t>
        </is>
      </c>
      <c r="E93" s="86" t="inlineStr">
        <is>
          <t>オーツミルク 無糖</t>
        </is>
      </c>
      <c r="F93" s="72" t="inlineStr">
        <is>
          <t>1L/CTN</t>
        </is>
      </c>
      <c r="G93" s="140" t="n"/>
      <c r="H93" s="74" t="n">
        <v>25</v>
      </c>
      <c r="I93" s="81" t="inlineStr">
        <is>
          <t>CT</t>
        </is>
      </c>
      <c r="J93" s="76" t="n">
        <v>24678</v>
      </c>
      <c r="K93" s="82" t="inlineStr">
        <is>
          <t>JPY</t>
        </is>
      </c>
      <c r="L93" s="78">
        <f>H93*J93</f>
        <v/>
      </c>
      <c r="M93" s="90" t="n"/>
      <c r="N93" s="142" t="n"/>
      <c r="O93" s="142" t="n"/>
      <c r="P93" s="142" t="n"/>
      <c r="Q93" s="142" t="n"/>
    </row>
    <row r="94" ht="46.5" customHeight="1">
      <c r="A94" s="69" t="n">
        <v>73</v>
      </c>
      <c r="B94" s="87" t="inlineStr">
        <is>
          <t>PO20260321</t>
        </is>
      </c>
      <c r="C94" s="84" t="inlineStr">
        <is>
          <t>99PRD017992</t>
        </is>
      </c>
      <c r="D94" s="85" t="inlineStr">
        <is>
          <t>MILK UHT WHOLE 3.5%</t>
        </is>
      </c>
      <c r="E94" s="86" t="inlineStr">
        <is>
          <t>牛乳 UHT 3.5%</t>
        </is>
      </c>
      <c r="F94" s="72" t="inlineStr">
        <is>
          <t>1L/CTN</t>
        </is>
      </c>
      <c r="G94" s="140" t="n"/>
      <c r="H94" s="74" t="n">
        <v>80</v>
      </c>
      <c r="I94" s="81" t="inlineStr">
        <is>
          <t>CT</t>
        </is>
      </c>
      <c r="J94" s="76" t="n">
        <v>14238</v>
      </c>
      <c r="K94" s="82" t="inlineStr">
        <is>
          <t>JPY</t>
        </is>
      </c>
      <c r="L94" s="78">
        <f>H94*J94</f>
        <v/>
      </c>
      <c r="M94" s="90" t="n"/>
      <c r="N94" s="142" t="n"/>
      <c r="O94" s="142" t="n"/>
      <c r="P94" s="142" t="n"/>
      <c r="Q94" s="142" t="n"/>
    </row>
    <row r="95" ht="46.5" customHeight="1">
      <c r="A95" s="69" t="n">
        <v>74</v>
      </c>
      <c r="B95" s="87" t="inlineStr">
        <is>
          <t>PO20260321</t>
        </is>
      </c>
      <c r="C95" s="84" t="inlineStr">
        <is>
          <t>99PRD018103</t>
        </is>
      </c>
      <c r="D95" s="85" t="inlineStr">
        <is>
          <t>MIRIN HON 13.5%</t>
        </is>
      </c>
      <c r="E95" s="86" t="inlineStr">
        <is>
          <t>本みりん 13.5%</t>
        </is>
      </c>
      <c r="F95" s="72" t="inlineStr">
        <is>
          <t>1.8L/BTL</t>
        </is>
      </c>
      <c r="G95" s="140" t="n"/>
      <c r="H95" s="74" t="n">
        <v>500</v>
      </c>
      <c r="I95" s="81" t="inlineStr">
        <is>
          <t>CT</t>
        </is>
      </c>
      <c r="J95" s="76" t="n">
        <v>19321</v>
      </c>
      <c r="K95" s="82" t="inlineStr">
        <is>
          <t>JPY</t>
        </is>
      </c>
      <c r="L95" s="78">
        <f>H95*J95</f>
        <v/>
      </c>
      <c r="M95" s="90" t="n"/>
      <c r="N95" s="142" t="n"/>
      <c r="O95" s="142" t="n"/>
      <c r="P95" s="142" t="n"/>
      <c r="Q95" s="142" t="n"/>
    </row>
    <row r="96" ht="46.5" customHeight="1">
      <c r="A96" s="69" t="n">
        <v>75</v>
      </c>
      <c r="B96" s="87" t="inlineStr">
        <is>
          <t>PO20260321</t>
        </is>
      </c>
      <c r="C96" s="84" t="inlineStr">
        <is>
          <t>99PRD018214</t>
        </is>
      </c>
      <c r="D96" s="85" t="inlineStr">
        <is>
          <t>MISO WHITE SHIRO</t>
        </is>
      </c>
      <c r="E96" s="86" t="inlineStr">
        <is>
          <t>白味噌</t>
        </is>
      </c>
      <c r="F96" s="72" t="inlineStr">
        <is>
          <t>1KG/PKT</t>
        </is>
      </c>
      <c r="G96" s="140" t="n"/>
      <c r="H96" s="74" t="n">
        <v>40</v>
      </c>
      <c r="I96" s="81" t="inlineStr">
        <is>
          <t>CT</t>
        </is>
      </c>
      <c r="J96" s="76" t="n">
        <v>12061</v>
      </c>
      <c r="K96" s="82" t="inlineStr">
        <is>
          <t>JPY</t>
        </is>
      </c>
      <c r="L96" s="78">
        <f>H96*J96</f>
        <v/>
      </c>
      <c r="M96" s="90" t="n"/>
      <c r="N96" s="142" t="n"/>
      <c r="O96" s="142" t="n"/>
      <c r="P96" s="142" t="n"/>
      <c r="Q96" s="142" t="n"/>
    </row>
    <row r="97" ht="46.5" customHeight="1">
      <c r="A97" s="69" t="n">
        <v>76</v>
      </c>
      <c r="B97" s="87" t="inlineStr">
        <is>
          <t>PO20260321</t>
        </is>
      </c>
      <c r="C97" s="84" t="inlineStr">
        <is>
          <t>99PRD018325</t>
        </is>
      </c>
      <c r="D97" s="85" t="inlineStr">
        <is>
          <t>MUSHROOM BUTTON EXPORT</t>
        </is>
      </c>
      <c r="E97" s="86" t="inlineStr">
        <is>
          <t>マッシュルーム（白）</t>
        </is>
      </c>
      <c r="F97" s="72" t="inlineStr">
        <is>
          <t>CT/1KG</t>
        </is>
      </c>
      <c r="G97" s="140" t="n"/>
      <c r="H97" s="74" t="n">
        <v>20</v>
      </c>
      <c r="I97" s="81" t="inlineStr">
        <is>
          <t>CT</t>
        </is>
      </c>
      <c r="J97" s="76" t="n">
        <v>4732</v>
      </c>
      <c r="K97" s="82" t="inlineStr">
        <is>
          <t>JPY</t>
        </is>
      </c>
      <c r="L97" s="78">
        <f>H97*J97</f>
        <v/>
      </c>
      <c r="M97" s="90" t="n"/>
      <c r="N97" s="142" t="n"/>
      <c r="O97" s="142" t="n"/>
      <c r="P97" s="142" t="n"/>
      <c r="Q97" s="142" t="n"/>
    </row>
    <row r="98" ht="46.5" customHeight="1">
      <c r="A98" s="69" t="n">
        <v>77</v>
      </c>
      <c r="B98" s="87" t="inlineStr">
        <is>
          <t>PO20260321</t>
        </is>
      </c>
      <c r="C98" s="84" t="inlineStr">
        <is>
          <t>99PRD018436</t>
        </is>
      </c>
      <c r="D98" s="85" t="inlineStr">
        <is>
          <t>MUSHROOM KING OYSTER</t>
        </is>
      </c>
      <c r="E98" s="86" t="inlineStr">
        <is>
          <t>エリンギ</t>
        </is>
      </c>
      <c r="F98" s="72" t="inlineStr">
        <is>
          <t>150G/PKT</t>
        </is>
      </c>
      <c r="G98" s="140" t="n"/>
      <c r="H98" s="74" t="n">
        <v>60</v>
      </c>
      <c r="I98" s="81" t="inlineStr">
        <is>
          <t>CT</t>
        </is>
      </c>
      <c r="J98" s="76" t="n">
        <v>16371</v>
      </c>
      <c r="K98" s="82" t="inlineStr">
        <is>
          <t>JPY</t>
        </is>
      </c>
      <c r="L98" s="78">
        <f>H98*J98</f>
        <v/>
      </c>
      <c r="M98" s="90" t="n"/>
      <c r="N98" s="142" t="n"/>
      <c r="O98" s="142" t="n"/>
      <c r="P98" s="142" t="n"/>
      <c r="Q98" s="142" t="n"/>
    </row>
    <row r="99" ht="46.5" customHeight="1">
      <c r="A99" s="69" t="n">
        <v>78</v>
      </c>
      <c r="B99" s="87" t="inlineStr">
        <is>
          <t>PO20260321</t>
        </is>
      </c>
      <c r="C99" s="84" t="inlineStr">
        <is>
          <t>99PRD018547</t>
        </is>
      </c>
      <c r="D99" s="85" t="inlineStr">
        <is>
          <t>MUSHROOM SHIITAKE FRESH</t>
        </is>
      </c>
      <c r="E99" s="86" t="inlineStr">
        <is>
          <t>生しいたけ</t>
        </is>
      </c>
      <c r="F99" s="72" t="inlineStr">
        <is>
          <t>500G/PKT</t>
        </is>
      </c>
      <c r="G99" s="140" t="n"/>
      <c r="H99" s="74" t="n">
        <v>10</v>
      </c>
      <c r="I99" s="81" t="inlineStr">
        <is>
          <t>CT</t>
        </is>
      </c>
      <c r="J99" s="76" t="n">
        <v>24965</v>
      </c>
      <c r="K99" s="82" t="inlineStr">
        <is>
          <t>JPY</t>
        </is>
      </c>
      <c r="L99" s="78">
        <f>H99*J99</f>
        <v/>
      </c>
      <c r="M99" s="90" t="n"/>
      <c r="N99" s="142" t="n"/>
      <c r="O99" s="142" t="n"/>
      <c r="P99" s="142" t="n"/>
      <c r="Q99" s="142" t="n"/>
    </row>
    <row r="100" ht="46.5" customHeight="1">
      <c r="A100" s="69" t="n">
        <v>79</v>
      </c>
      <c r="B100" s="87" t="inlineStr">
        <is>
          <t>PO20260321</t>
        </is>
      </c>
      <c r="C100" s="84" t="inlineStr">
        <is>
          <t>99PRD018658</t>
        </is>
      </c>
      <c r="D100" s="85" t="inlineStr">
        <is>
          <t>NOODLE SOBA DRIED</t>
        </is>
      </c>
      <c r="E100" s="86" t="inlineStr">
        <is>
          <t>そば 乾麺</t>
        </is>
      </c>
      <c r="F100" s="72" t="inlineStr">
        <is>
          <t>200G/PKT</t>
        </is>
      </c>
      <c r="G100" s="140" t="n"/>
      <c r="H100" s="74" t="n">
        <v>5</v>
      </c>
      <c r="I100" s="81" t="inlineStr">
        <is>
          <t>CT</t>
        </is>
      </c>
      <c r="J100" s="76" t="n">
        <v>3792</v>
      </c>
      <c r="K100" s="82" t="inlineStr">
        <is>
          <t>JPY</t>
        </is>
      </c>
      <c r="L100" s="78">
        <f>H100*J100</f>
        <v/>
      </c>
      <c r="M100" s="90" t="n"/>
      <c r="N100" s="142" t="n"/>
      <c r="O100" s="142" t="n"/>
      <c r="P100" s="142" t="n"/>
      <c r="Q100" s="142" t="n"/>
    </row>
    <row r="101" ht="46.5" customHeight="1">
      <c r="A101" s="69" t="n">
        <v>80</v>
      </c>
      <c r="B101" s="87" t="inlineStr">
        <is>
          <t>PO20260321</t>
        </is>
      </c>
      <c r="C101" s="84" t="inlineStr">
        <is>
          <t>99PRD018769</t>
        </is>
      </c>
      <c r="D101" s="85" t="inlineStr">
        <is>
          <t>NORI SHEET PREMIUM</t>
        </is>
      </c>
      <c r="E101" s="86" t="inlineStr">
        <is>
          <t>海苔 プレミアム</t>
        </is>
      </c>
      <c r="F101" s="72" t="inlineStr">
        <is>
          <t>100枚/PKT</t>
        </is>
      </c>
      <c r="G101" s="140" t="n"/>
      <c r="H101" s="74" t="n">
        <v>15</v>
      </c>
      <c r="I101" s="81" t="inlineStr">
        <is>
          <t>CT</t>
        </is>
      </c>
      <c r="J101" s="76" t="n">
        <v>20760</v>
      </c>
      <c r="K101" s="82" t="inlineStr">
        <is>
          <t>JPY</t>
        </is>
      </c>
      <c r="L101" s="78">
        <f>H101*J101</f>
        <v/>
      </c>
      <c r="M101" s="90" t="n"/>
      <c r="N101" s="142" t="n"/>
      <c r="O101" s="142" t="n"/>
      <c r="P101" s="142" t="n"/>
      <c r="Q101" s="142" t="n"/>
    </row>
    <row r="102" ht="46.5" customHeight="1">
      <c r="A102" s="69" t="n">
        <v>81</v>
      </c>
      <c r="B102" s="87" t="inlineStr">
        <is>
          <t>PO20260321</t>
        </is>
      </c>
      <c r="C102" s="84" t="inlineStr">
        <is>
          <t>99PRD018880</t>
        </is>
      </c>
      <c r="D102" s="85" t="inlineStr">
        <is>
          <t>OIL OLIVE EXTRA VIRGIN</t>
        </is>
      </c>
      <c r="E102" s="86" t="inlineStr">
        <is>
          <t>EXVオリーブオイル</t>
        </is>
      </c>
      <c r="F102" s="72" t="inlineStr">
        <is>
          <t>5L/TIN</t>
        </is>
      </c>
      <c r="G102" s="140" t="n"/>
      <c r="H102" s="74" t="n">
        <v>15</v>
      </c>
      <c r="I102" s="81" t="inlineStr">
        <is>
          <t>CT</t>
        </is>
      </c>
      <c r="J102" s="76" t="n">
        <v>22498</v>
      </c>
      <c r="K102" s="82" t="inlineStr">
        <is>
          <t>JPY</t>
        </is>
      </c>
      <c r="L102" s="78">
        <f>H102*J102</f>
        <v/>
      </c>
      <c r="M102" s="90" t="n"/>
      <c r="N102" s="142" t="n"/>
      <c r="O102" s="142" t="n"/>
      <c r="P102" s="142" t="n"/>
      <c r="Q102" s="142" t="n"/>
    </row>
    <row r="103" ht="46.5" customHeight="1">
      <c r="A103" s="69" t="n">
        <v>82</v>
      </c>
      <c r="B103" s="87" t="inlineStr">
        <is>
          <t>PO20260321</t>
        </is>
      </c>
      <c r="C103" s="84" t="inlineStr">
        <is>
          <t>99PRD018991</t>
        </is>
      </c>
      <c r="D103" s="85" t="inlineStr">
        <is>
          <t>OKRA FRESH</t>
        </is>
      </c>
      <c r="E103" s="86" t="inlineStr">
        <is>
          <t>オクラ</t>
        </is>
      </c>
      <c r="F103" s="72" t="inlineStr">
        <is>
          <t>50CT/3.5KG</t>
        </is>
      </c>
      <c r="G103" s="140" t="n"/>
      <c r="H103" s="74" t="n">
        <v>40</v>
      </c>
      <c r="I103" s="81" t="inlineStr">
        <is>
          <t>CT</t>
        </is>
      </c>
      <c r="J103" s="76" t="n">
        <v>19743</v>
      </c>
      <c r="K103" s="82" t="inlineStr">
        <is>
          <t>JPY</t>
        </is>
      </c>
      <c r="L103" s="78">
        <f>H103*J103</f>
        <v/>
      </c>
      <c r="M103" s="90" t="n"/>
      <c r="N103" s="142" t="n"/>
      <c r="O103" s="142" t="n"/>
      <c r="P103" s="142" t="n"/>
      <c r="Q103" s="142" t="n"/>
    </row>
    <row r="104" ht="46.5" customHeight="1">
      <c r="A104" s="69" t="n">
        <v>83</v>
      </c>
      <c r="B104" s="87" t="inlineStr">
        <is>
          <t>PO20260321</t>
        </is>
      </c>
      <c r="C104" s="84" t="inlineStr">
        <is>
          <t>99PRD019102</t>
        </is>
      </c>
      <c r="D104" s="85" t="inlineStr">
        <is>
          <t>ONION GREEN SCALLION</t>
        </is>
      </c>
      <c r="E104" s="86" t="inlineStr">
        <is>
          <t>青ネギ</t>
        </is>
      </c>
      <c r="F104" s="72" t="inlineStr">
        <is>
          <t>20CT/2KG</t>
        </is>
      </c>
      <c r="G104" s="140" t="n"/>
      <c r="H104" s="74" t="n">
        <v>10</v>
      </c>
      <c r="I104" s="81" t="inlineStr">
        <is>
          <t>CT</t>
        </is>
      </c>
      <c r="J104" s="76" t="n">
        <v>12808</v>
      </c>
      <c r="K104" s="82" t="inlineStr">
        <is>
          <t>JPY</t>
        </is>
      </c>
      <c r="L104" s="78">
        <f>H104*J104</f>
        <v/>
      </c>
      <c r="M104" s="90" t="n"/>
      <c r="N104" s="142" t="n"/>
      <c r="O104" s="142" t="n"/>
      <c r="P104" s="142" t="n"/>
      <c r="Q104" s="142" t="n"/>
    </row>
    <row r="105" ht="46.5" customHeight="1">
      <c r="A105" s="69" t="n">
        <v>84</v>
      </c>
      <c r="B105" s="87" t="inlineStr">
        <is>
          <t>PO20260321</t>
        </is>
      </c>
      <c r="C105" s="84" t="inlineStr">
        <is>
          <t>99PRD019213</t>
        </is>
      </c>
      <c r="D105" s="85" t="inlineStr">
        <is>
          <t>ONION RED MEDIUM</t>
        </is>
      </c>
      <c r="E105" s="86" t="inlineStr">
        <is>
          <t>赤玉ねぎ</t>
        </is>
      </c>
      <c r="F105" s="72" t="inlineStr">
        <is>
          <t>CT/10KG</t>
        </is>
      </c>
      <c r="G105" s="140" t="n"/>
      <c r="H105" s="74" t="n">
        <v>40</v>
      </c>
      <c r="I105" s="81" t="inlineStr">
        <is>
          <t>CT</t>
        </is>
      </c>
      <c r="J105" s="76" t="n">
        <v>19726</v>
      </c>
      <c r="K105" s="82" t="inlineStr">
        <is>
          <t>JPY</t>
        </is>
      </c>
      <c r="L105" s="78">
        <f>H105*J105</f>
        <v/>
      </c>
      <c r="M105" s="90" t="n"/>
      <c r="N105" s="142" t="n"/>
      <c r="O105" s="142" t="n"/>
      <c r="P105" s="142" t="n"/>
      <c r="Q105" s="142" t="n"/>
    </row>
    <row r="106" ht="46.5" customHeight="1">
      <c r="A106" s="69" t="n">
        <v>85</v>
      </c>
      <c r="B106" s="87" t="inlineStr">
        <is>
          <t>PO20260321</t>
        </is>
      </c>
      <c r="C106" s="84" t="inlineStr">
        <is>
          <t>99PRD019324</t>
        </is>
      </c>
      <c r="D106" s="85" t="inlineStr">
        <is>
          <t>ONION YELLOW MEDIUM</t>
        </is>
      </c>
      <c r="E106" s="86" t="inlineStr">
        <is>
          <t>玉ねぎ</t>
        </is>
      </c>
      <c r="F106" s="72" t="inlineStr">
        <is>
          <t>CT/20KG</t>
        </is>
      </c>
      <c r="G106" s="140" t="n"/>
      <c r="H106" s="74" t="n">
        <v>50</v>
      </c>
      <c r="I106" s="81" t="inlineStr">
        <is>
          <t>CT</t>
        </is>
      </c>
      <c r="J106" s="76" t="n">
        <v>17538</v>
      </c>
      <c r="K106" s="82" t="inlineStr">
        <is>
          <t>JPY</t>
        </is>
      </c>
      <c r="L106" s="78">
        <f>H106*J106</f>
        <v/>
      </c>
      <c r="M106" s="90" t="n"/>
      <c r="N106" s="142" t="n"/>
      <c r="O106" s="142" t="n"/>
      <c r="P106" s="142" t="n"/>
      <c r="Q106" s="142" t="n"/>
    </row>
    <row r="107" ht="46.5" customHeight="1">
      <c r="A107" s="69" t="n">
        <v>86</v>
      </c>
      <c r="B107" s="87" t="inlineStr">
        <is>
          <t>PO20260321</t>
        </is>
      </c>
      <c r="C107" s="84" t="inlineStr">
        <is>
          <t>99PRD019435</t>
        </is>
      </c>
      <c r="D107" s="85" t="inlineStr">
        <is>
          <t>ORANGE CHOICE EXPORT</t>
        </is>
      </c>
      <c r="E107" s="86" t="inlineStr">
        <is>
          <t>オレンジ</t>
        </is>
      </c>
      <c r="F107" s="72" t="inlineStr">
        <is>
          <t>88CT/18KG</t>
        </is>
      </c>
      <c r="G107" s="140" t="n"/>
      <c r="H107" s="74" t="n">
        <v>25</v>
      </c>
      <c r="I107" s="81" t="inlineStr">
        <is>
          <t>CT</t>
        </is>
      </c>
      <c r="J107" s="76" t="n">
        <v>18328</v>
      </c>
      <c r="K107" s="82" t="inlineStr">
        <is>
          <t>JPY</t>
        </is>
      </c>
      <c r="L107" s="78">
        <f>H107*J107</f>
        <v/>
      </c>
      <c r="M107" s="90" t="n"/>
      <c r="N107" s="142" t="n"/>
      <c r="O107" s="142" t="n"/>
      <c r="P107" s="142" t="n"/>
      <c r="Q107" s="142" t="n"/>
    </row>
    <row r="108" ht="46.5" customHeight="1">
      <c r="A108" s="69" t="n">
        <v>87</v>
      </c>
      <c r="B108" s="87" t="inlineStr">
        <is>
          <t>PO20260321</t>
        </is>
      </c>
      <c r="C108" s="84" t="inlineStr">
        <is>
          <t>99PRD019546</t>
        </is>
      </c>
      <c r="D108" s="85" t="inlineStr">
        <is>
          <t>PAPAYA LARGE CARIBBEAN</t>
        </is>
      </c>
      <c r="E108" s="86" t="inlineStr">
        <is>
          <t>黄パパイヤ</t>
        </is>
      </c>
      <c r="F108" s="72" t="inlineStr">
        <is>
          <t>8CT/5KG</t>
        </is>
      </c>
      <c r="G108" s="140" t="n"/>
      <c r="H108" s="74" t="n">
        <v>300</v>
      </c>
      <c r="I108" s="81" t="inlineStr">
        <is>
          <t>CT</t>
        </is>
      </c>
      <c r="J108" s="76" t="n">
        <v>576</v>
      </c>
      <c r="K108" s="82" t="inlineStr">
        <is>
          <t>JPY</t>
        </is>
      </c>
      <c r="L108" s="78">
        <f>H108*J108</f>
        <v/>
      </c>
      <c r="M108" s="90" t="n"/>
      <c r="N108" s="142" t="n"/>
      <c r="O108" s="142" t="n"/>
      <c r="P108" s="142" t="n"/>
      <c r="Q108" s="142" t="n"/>
    </row>
    <row r="109" ht="46.5" customHeight="1">
      <c r="A109" s="69" t="n">
        <v>88</v>
      </c>
      <c r="B109" s="87" t="inlineStr">
        <is>
          <t>PO20260321</t>
        </is>
      </c>
      <c r="C109" s="84" t="inlineStr">
        <is>
          <t>99PRD019657</t>
        </is>
      </c>
      <c r="D109" s="85" t="inlineStr">
        <is>
          <t>PARSLEY FLAT LEAF</t>
        </is>
      </c>
      <c r="E109" s="86" t="inlineStr">
        <is>
          <t>イタリアンパセリ</t>
        </is>
      </c>
      <c r="F109" s="72" t="inlineStr">
        <is>
          <t>100G/BCH</t>
        </is>
      </c>
      <c r="G109" s="140" t="n"/>
      <c r="H109" s="74" t="n">
        <v>100</v>
      </c>
      <c r="I109" s="81" t="inlineStr">
        <is>
          <t>CT</t>
        </is>
      </c>
      <c r="J109" s="76" t="n">
        <v>23816</v>
      </c>
      <c r="K109" s="82" t="inlineStr">
        <is>
          <t>JPY</t>
        </is>
      </c>
      <c r="L109" s="78">
        <f>H109*J109</f>
        <v/>
      </c>
      <c r="M109" s="90" t="n"/>
      <c r="N109" s="142" t="n"/>
      <c r="O109" s="142" t="n"/>
      <c r="P109" s="142" t="n"/>
      <c r="Q109" s="142" t="n"/>
    </row>
    <row r="110" ht="46.5" customHeight="1">
      <c r="A110" s="69" t="n">
        <v>89</v>
      </c>
      <c r="B110" s="87" t="inlineStr">
        <is>
          <t>PO20260321</t>
        </is>
      </c>
      <c r="C110" s="84" t="inlineStr">
        <is>
          <t>99PRD019768</t>
        </is>
      </c>
      <c r="D110" s="85" t="inlineStr">
        <is>
          <t>PASSION FRUIT FRESH</t>
        </is>
      </c>
      <c r="E110" s="86" t="inlineStr">
        <is>
          <t>パッションフルーツ</t>
        </is>
      </c>
      <c r="F110" s="72" t="inlineStr">
        <is>
          <t>36PC/CS</t>
        </is>
      </c>
      <c r="G110" s="140" t="n"/>
      <c r="H110" s="74" t="n">
        <v>10</v>
      </c>
      <c r="I110" s="81" t="inlineStr">
        <is>
          <t>CT</t>
        </is>
      </c>
      <c r="J110" s="76" t="n">
        <v>22538</v>
      </c>
      <c r="K110" s="82" t="inlineStr">
        <is>
          <t>JPY</t>
        </is>
      </c>
      <c r="L110" s="78">
        <f>H110*J110</f>
        <v/>
      </c>
      <c r="M110" s="90" t="n"/>
      <c r="N110" s="142" t="n"/>
      <c r="O110" s="142" t="n"/>
      <c r="P110" s="142" t="n"/>
      <c r="Q110" s="142" t="n"/>
    </row>
    <row r="111" ht="46.5" customHeight="1">
      <c r="A111" s="69" t="n">
        <v>90</v>
      </c>
      <c r="B111" s="87" t="inlineStr">
        <is>
          <t>PO20260321</t>
        </is>
      </c>
      <c r="C111" s="84" t="inlineStr">
        <is>
          <t>99PRD019879</t>
        </is>
      </c>
      <c r="D111" s="85" t="inlineStr">
        <is>
          <t>PEAS SNOW SNIPPED</t>
        </is>
      </c>
      <c r="E111" s="86" t="inlineStr">
        <is>
          <t>サヤエンドウ</t>
        </is>
      </c>
      <c r="F111" s="72" t="inlineStr">
        <is>
          <t>CT/2KG</t>
        </is>
      </c>
      <c r="G111" s="140" t="n"/>
      <c r="H111" s="74" t="n">
        <v>500</v>
      </c>
      <c r="I111" s="81" t="inlineStr">
        <is>
          <t>CT</t>
        </is>
      </c>
      <c r="J111" s="76" t="n">
        <v>17795</v>
      </c>
      <c r="K111" s="82" t="inlineStr">
        <is>
          <t>JPY</t>
        </is>
      </c>
      <c r="L111" s="78">
        <f>H111*J111</f>
        <v/>
      </c>
      <c r="M111" s="90" t="n"/>
      <c r="N111" s="142" t="n"/>
      <c r="O111" s="142" t="n"/>
      <c r="P111" s="142" t="n"/>
      <c r="Q111" s="142" t="n"/>
    </row>
    <row r="112" ht="46.5" customHeight="1">
      <c r="A112" s="69" t="n">
        <v>91</v>
      </c>
      <c r="B112" s="87" t="inlineStr">
        <is>
          <t>PO20260321</t>
        </is>
      </c>
      <c r="C112" s="84" t="inlineStr">
        <is>
          <t>99PRD019990</t>
        </is>
      </c>
      <c r="D112" s="85" t="inlineStr">
        <is>
          <t>PEPPER BELL GREEN</t>
        </is>
      </c>
      <c r="E112" s="86" t="inlineStr">
        <is>
          <t>パプリカ（緑）</t>
        </is>
      </c>
      <c r="F112" s="72" t="inlineStr">
        <is>
          <t>CT/5KG</t>
        </is>
      </c>
      <c r="G112" s="140" t="n"/>
      <c r="H112" s="74" t="n">
        <v>200</v>
      </c>
      <c r="I112" s="81" t="inlineStr">
        <is>
          <t>CT</t>
        </is>
      </c>
      <c r="J112" s="76" t="n">
        <v>8943</v>
      </c>
      <c r="K112" s="82" t="inlineStr">
        <is>
          <t>JPY</t>
        </is>
      </c>
      <c r="L112" s="78">
        <f>H112*J112</f>
        <v/>
      </c>
      <c r="M112" s="90" t="n"/>
      <c r="N112" s="142" t="n"/>
      <c r="O112" s="142" t="n"/>
      <c r="P112" s="142" t="n"/>
      <c r="Q112" s="142" t="n"/>
    </row>
    <row r="113" ht="46.5" customHeight="1">
      <c r="A113" s="69" t="n">
        <v>92</v>
      </c>
      <c r="B113" s="87" t="inlineStr">
        <is>
          <t>PO20260321</t>
        </is>
      </c>
      <c r="C113" s="84" t="inlineStr">
        <is>
          <t>99PRD020101</t>
        </is>
      </c>
      <c r="D113" s="85" t="inlineStr">
        <is>
          <t>PEPPER BELL RED</t>
        </is>
      </c>
      <c r="E113" s="86" t="inlineStr">
        <is>
          <t>パプリカ（赤）</t>
        </is>
      </c>
      <c r="F113" s="72" t="inlineStr">
        <is>
          <t>CT/5KG</t>
        </is>
      </c>
      <c r="G113" s="140" t="n"/>
      <c r="H113" s="74" t="n">
        <v>200</v>
      </c>
      <c r="I113" s="81" t="inlineStr">
        <is>
          <t>CT</t>
        </is>
      </c>
      <c r="J113" s="76" t="n">
        <v>21203</v>
      </c>
      <c r="K113" s="82" t="inlineStr">
        <is>
          <t>JPY</t>
        </is>
      </c>
      <c r="L113" s="78">
        <f>H113*J113</f>
        <v/>
      </c>
      <c r="M113" s="90" t="n"/>
      <c r="N113" s="142" t="n"/>
      <c r="O113" s="142" t="n"/>
      <c r="P113" s="142" t="n"/>
      <c r="Q113" s="142" t="n"/>
    </row>
    <row r="114" ht="46.5" customHeight="1">
      <c r="A114" s="69" t="n">
        <v>93</v>
      </c>
      <c r="B114" s="87" t="inlineStr">
        <is>
          <t>PO20260321</t>
        </is>
      </c>
      <c r="C114" s="84" t="inlineStr">
        <is>
          <t>99PRD020212</t>
        </is>
      </c>
      <c r="D114" s="85" t="inlineStr">
        <is>
          <t>PINEAPPLE GOLD MD-2</t>
        </is>
      </c>
      <c r="E114" s="86" t="inlineStr">
        <is>
          <t>ゴールドパイナップル</t>
        </is>
      </c>
      <c r="F114" s="72" t="inlineStr">
        <is>
          <t>CT/12KG</t>
        </is>
      </c>
      <c r="G114" s="140" t="n"/>
      <c r="H114" s="74" t="n">
        <v>30</v>
      </c>
      <c r="I114" s="81" t="inlineStr">
        <is>
          <t>CT</t>
        </is>
      </c>
      <c r="J114" s="76" t="n">
        <v>3855</v>
      </c>
      <c r="K114" s="82" t="inlineStr">
        <is>
          <t>JPY</t>
        </is>
      </c>
      <c r="L114" s="78">
        <f>H114*J114</f>
        <v/>
      </c>
      <c r="M114" s="90" t="n"/>
      <c r="N114" s="142" t="n"/>
      <c r="O114" s="142" t="n"/>
      <c r="P114" s="142" t="n"/>
      <c r="Q114" s="142" t="n"/>
    </row>
    <row r="115" ht="46.5" customHeight="1">
      <c r="A115" s="69" t="n">
        <v>94</v>
      </c>
      <c r="B115" s="87" t="inlineStr">
        <is>
          <t>PO20260321</t>
        </is>
      </c>
      <c r="C115" s="84" t="inlineStr">
        <is>
          <t>99PRD020323</t>
        </is>
      </c>
      <c r="D115" s="85" t="inlineStr">
        <is>
          <t>PORK BELLY SKINLESS</t>
        </is>
      </c>
      <c r="E115" s="86" t="inlineStr">
        <is>
          <t>豚バラ 皮なし</t>
        </is>
      </c>
      <c r="F115" s="72" t="inlineStr">
        <is>
          <t>5KG/BLK</t>
        </is>
      </c>
      <c r="G115" s="140" t="n"/>
      <c r="H115" s="74" t="n">
        <v>25</v>
      </c>
      <c r="I115" s="81" t="inlineStr">
        <is>
          <t>CT</t>
        </is>
      </c>
      <c r="J115" s="76" t="n">
        <v>14446</v>
      </c>
      <c r="K115" s="82" t="inlineStr">
        <is>
          <t>JPY</t>
        </is>
      </c>
      <c r="L115" s="78">
        <f>H115*J115</f>
        <v/>
      </c>
      <c r="M115" s="90" t="n"/>
      <c r="N115" s="142" t="n"/>
      <c r="O115" s="142" t="n"/>
      <c r="P115" s="142" t="n"/>
      <c r="Q115" s="142" t="n"/>
    </row>
    <row r="116" ht="46.5" customHeight="1">
      <c r="A116" s="69" t="n">
        <v>95</v>
      </c>
      <c r="B116" s="87" t="inlineStr">
        <is>
          <t>PO20260321</t>
        </is>
      </c>
      <c r="C116" s="84" t="inlineStr">
        <is>
          <t>99PRD020434</t>
        </is>
      </c>
      <c r="D116" s="85" t="inlineStr">
        <is>
          <t>PORK LOIN CENTER CUT</t>
        </is>
      </c>
      <c r="E116" s="86" t="inlineStr">
        <is>
          <t>豚ロース</t>
        </is>
      </c>
      <c r="F116" s="72" t="inlineStr">
        <is>
          <t>3KG/PC</t>
        </is>
      </c>
      <c r="G116" s="140" t="n"/>
      <c r="H116" s="74" t="n">
        <v>15</v>
      </c>
      <c r="I116" s="81" t="inlineStr">
        <is>
          <t>CT</t>
        </is>
      </c>
      <c r="J116" s="76" t="n">
        <v>15067</v>
      </c>
      <c r="K116" s="82" t="inlineStr">
        <is>
          <t>JPY</t>
        </is>
      </c>
      <c r="L116" s="78">
        <f>H116*J116</f>
        <v/>
      </c>
      <c r="M116" s="90" t="n"/>
      <c r="N116" s="142" t="n"/>
      <c r="O116" s="142" t="n"/>
      <c r="P116" s="142" t="n"/>
      <c r="Q116" s="142" t="n"/>
    </row>
    <row r="117" ht="46.5" customHeight="1">
      <c r="A117" s="69" t="n">
        <v>96</v>
      </c>
      <c r="B117" s="87" t="inlineStr">
        <is>
          <t>PO20260321</t>
        </is>
      </c>
      <c r="C117" s="84" t="inlineStr">
        <is>
          <t>99PRD020545</t>
        </is>
      </c>
      <c r="D117" s="85" t="inlineStr">
        <is>
          <t>POTATO IDAHO LARGE</t>
        </is>
      </c>
      <c r="E117" s="86" t="inlineStr">
        <is>
          <t>アイダホポテト 大</t>
        </is>
      </c>
      <c r="F117" s="72" t="inlineStr">
        <is>
          <t>CT/22KG</t>
        </is>
      </c>
      <c r="G117" s="140" t="n"/>
      <c r="H117" s="74" t="n">
        <v>5</v>
      </c>
      <c r="I117" s="81" t="inlineStr">
        <is>
          <t>CT</t>
        </is>
      </c>
      <c r="J117" s="76" t="n">
        <v>23861</v>
      </c>
      <c r="K117" s="82" t="inlineStr">
        <is>
          <t>JPY</t>
        </is>
      </c>
      <c r="L117" s="78">
        <f>H117*J117</f>
        <v/>
      </c>
      <c r="M117" s="90" t="n"/>
      <c r="N117" s="142" t="n"/>
      <c r="O117" s="142" t="n"/>
      <c r="P117" s="142" t="n"/>
      <c r="Q117" s="142" t="n"/>
    </row>
    <row r="118" ht="46.5" customHeight="1">
      <c r="A118" s="69" t="n">
        <v>97</v>
      </c>
      <c r="B118" s="87" t="inlineStr">
        <is>
          <t>PO20260321</t>
        </is>
      </c>
      <c r="C118" s="84" t="inlineStr">
        <is>
          <t>99PRD020656</t>
        </is>
      </c>
      <c r="D118" s="85" t="inlineStr">
        <is>
          <t>PRAWN BLACK TIGER 16/20</t>
        </is>
      </c>
      <c r="E118" s="86" t="inlineStr">
        <is>
          <t>ブラックタイガー 16/20</t>
        </is>
      </c>
      <c r="F118" s="72" t="inlineStr">
        <is>
          <t>1.8KG/BOX</t>
        </is>
      </c>
      <c r="G118" s="140" t="n"/>
      <c r="H118" s="74" t="n">
        <v>500</v>
      </c>
      <c r="I118" s="81" t="inlineStr">
        <is>
          <t>CT</t>
        </is>
      </c>
      <c r="J118" s="76" t="n">
        <v>23782</v>
      </c>
      <c r="K118" s="82" t="inlineStr">
        <is>
          <t>JPY</t>
        </is>
      </c>
      <c r="L118" s="78">
        <f>H118*J118</f>
        <v/>
      </c>
      <c r="M118" s="90" t="n"/>
      <c r="N118" s="142" t="n"/>
      <c r="O118" s="142" t="n"/>
      <c r="P118" s="142" t="n"/>
      <c r="Q118" s="142" t="n"/>
    </row>
    <row r="119" ht="46.5" customHeight="1">
      <c r="A119" s="69" t="n">
        <v>98</v>
      </c>
      <c r="B119" s="87" t="inlineStr">
        <is>
          <t>PO20260321</t>
        </is>
      </c>
      <c r="C119" s="84" t="inlineStr">
        <is>
          <t>99PRD020767</t>
        </is>
      </c>
      <c r="D119" s="85" t="inlineStr">
        <is>
          <t>RICE KOSHIHIKARI 5KG</t>
        </is>
      </c>
      <c r="E119" s="86" t="inlineStr">
        <is>
          <t>コシヒカリ 5KG</t>
        </is>
      </c>
      <c r="F119" s="72" t="inlineStr">
        <is>
          <t>5KG/BAG</t>
        </is>
      </c>
      <c r="G119" s="140" t="n"/>
      <c r="H119" s="74" t="n">
        <v>25</v>
      </c>
      <c r="I119" s="81" t="inlineStr">
        <is>
          <t>CT</t>
        </is>
      </c>
      <c r="J119" s="76" t="n">
        <v>16603</v>
      </c>
      <c r="K119" s="82" t="inlineStr">
        <is>
          <t>JPY</t>
        </is>
      </c>
      <c r="L119" s="78">
        <f>H119*J119</f>
        <v/>
      </c>
      <c r="M119" s="90" t="n"/>
      <c r="N119" s="142" t="n"/>
      <c r="O119" s="142" t="n"/>
      <c r="P119" s="142" t="n"/>
      <c r="Q119" s="142" t="n"/>
    </row>
    <row r="120" ht="46.5" customHeight="1">
      <c r="A120" s="69" t="n">
        <v>99</v>
      </c>
      <c r="B120" s="87" t="inlineStr">
        <is>
          <t>PO20260321</t>
        </is>
      </c>
      <c r="C120" s="84" t="inlineStr">
        <is>
          <t>99PRD020878</t>
        </is>
      </c>
      <c r="D120" s="85" t="inlineStr">
        <is>
          <t>SALMON FILLET FRESH ATLANTIC</t>
        </is>
      </c>
      <c r="E120" s="86" t="inlineStr">
        <is>
          <t>アトランティックサーモン フィレ</t>
        </is>
      </c>
      <c r="F120" s="72" t="inlineStr">
        <is>
          <t>2KG/PC</t>
        </is>
      </c>
      <c r="G120" s="140" t="n"/>
      <c r="H120" s="74" t="n">
        <v>200</v>
      </c>
      <c r="I120" s="81" t="inlineStr">
        <is>
          <t>CT</t>
        </is>
      </c>
      <c r="J120" s="76" t="n">
        <v>6054</v>
      </c>
      <c r="K120" s="82" t="inlineStr">
        <is>
          <t>JPY</t>
        </is>
      </c>
      <c r="L120" s="78">
        <f>H120*J120</f>
        <v/>
      </c>
      <c r="M120" s="90" t="n"/>
      <c r="N120" s="142" t="n"/>
      <c r="O120" s="142" t="n"/>
      <c r="P120" s="142" t="n"/>
      <c r="Q120" s="142" t="n"/>
    </row>
    <row r="121" ht="46.5" customHeight="1">
      <c r="A121" s="69" t="n">
        <v>100</v>
      </c>
      <c r="B121" s="87" t="inlineStr">
        <is>
          <t>PO20260321</t>
        </is>
      </c>
      <c r="C121" s="84" t="inlineStr">
        <is>
          <t>99PRD020989</t>
        </is>
      </c>
      <c r="D121" s="85" t="inlineStr">
        <is>
          <t>SOY SAUCE KIKKOMAN</t>
        </is>
      </c>
      <c r="E121" s="86" t="inlineStr">
        <is>
          <t>醤油 キッコーマン</t>
        </is>
      </c>
      <c r="F121" s="72" t="inlineStr">
        <is>
          <t>1.8L/BTL</t>
        </is>
      </c>
      <c r="G121" s="140" t="n"/>
      <c r="H121" s="74" t="n">
        <v>60</v>
      </c>
      <c r="I121" s="81" t="inlineStr">
        <is>
          <t>CT</t>
        </is>
      </c>
      <c r="J121" s="76" t="n">
        <v>3686</v>
      </c>
      <c r="K121" s="82" t="inlineStr">
        <is>
          <t>JPY</t>
        </is>
      </c>
      <c r="L121" s="78">
        <f>H121*J121</f>
        <v/>
      </c>
      <c r="M121" s="90" t="n"/>
      <c r="N121" s="142" t="n"/>
      <c r="O121" s="142" t="n"/>
      <c r="P121" s="142" t="n"/>
      <c r="Q121" s="142" t="n"/>
    </row>
    <row r="122">
      <c r="A122" s="91" t="n">
        <v>101</v>
      </c>
      <c r="B122" s="92" t="inlineStr">
        <is>
          <t>PO20260321</t>
        </is>
      </c>
      <c r="C122" s="93" t="inlineStr">
        <is>
          <t>99PRD021100</t>
        </is>
      </c>
      <c r="D122" s="94" t="inlineStr">
        <is>
          <t>SPINACH BABY WASHED</t>
        </is>
      </c>
      <c r="E122" s="92" t="inlineStr">
        <is>
          <t>ベビーほうれん草 洗浄済</t>
        </is>
      </c>
      <c r="F122" s="92" t="inlineStr">
        <is>
          <t>250G/BAG</t>
        </is>
      </c>
      <c r="G122" s="92" t="n"/>
      <c r="H122" s="91" t="n">
        <v>300</v>
      </c>
      <c r="I122" s="95" t="inlineStr">
        <is>
          <t>CT</t>
        </is>
      </c>
      <c r="J122" s="143" t="n"/>
      <c r="K122" s="97" t="inlineStr">
        <is>
          <t>JPY</t>
        </is>
      </c>
      <c r="L122" s="98">
        <f>SUM(L22:L121)</f>
        <v/>
      </c>
      <c r="M122" s="125" t="n"/>
      <c r="N122" s="125" t="n"/>
      <c r="O122" s="125" t="n"/>
      <c r="P122" s="125" t="n"/>
      <c r="Q122" s="125" t="n"/>
    </row>
    <row r="123">
      <c r="A123" s="91" t="n">
        <v>102</v>
      </c>
      <c r="B123" s="99" t="inlineStr">
        <is>
          <t>PO20260321</t>
        </is>
      </c>
      <c r="C123" s="99" t="inlineStr">
        <is>
          <t>99PRD021211</t>
        </is>
      </c>
      <c r="D123" s="99" t="inlineStr">
        <is>
          <t>STRAWBERRY FRESH PREMIUM</t>
        </is>
      </c>
      <c r="E123" s="99" t="inlineStr">
        <is>
          <t>いちご プレミアム</t>
        </is>
      </c>
      <c r="F123" s="99" t="inlineStr">
        <is>
          <t>250G/PKT</t>
        </is>
      </c>
      <c r="G123" s="99" t="n"/>
      <c r="H123" s="91" t="n">
        <v>25</v>
      </c>
      <c r="I123" s="100" t="inlineStr">
        <is>
          <t>CT</t>
        </is>
      </c>
      <c r="J123" s="140" t="n"/>
      <c r="K123" s="77" t="inlineStr">
        <is>
          <t>JPY</t>
        </is>
      </c>
      <c r="L123" s="78">
        <f>L122*0.08</f>
        <v/>
      </c>
      <c r="M123" s="125" t="n"/>
      <c r="N123" s="125" t="n"/>
      <c r="O123" s="125" t="n"/>
      <c r="P123" s="125" t="n"/>
      <c r="Q123" s="125" t="n"/>
    </row>
    <row r="124">
      <c r="A124" s="101" t="n"/>
      <c r="B124" s="99" t="n"/>
      <c r="C124" s="99" t="n"/>
      <c r="D124" s="99" t="n"/>
      <c r="E124" s="99" t="n"/>
      <c r="F124" s="99" t="n"/>
      <c r="G124" s="99" t="n"/>
      <c r="H124" s="101" t="n"/>
      <c r="I124" s="102" t="inlineStr">
        <is>
          <t>GRAND TOTAL</t>
        </is>
      </c>
      <c r="J124" s="140" t="n"/>
      <c r="K124" s="77" t="inlineStr">
        <is>
          <t>JPY</t>
        </is>
      </c>
      <c r="L124" s="78">
        <f>+L122+L123</f>
        <v/>
      </c>
      <c r="M124" s="125" t="n"/>
      <c r="N124" s="125" t="n"/>
      <c r="O124" s="125" t="n"/>
      <c r="P124" s="125" t="n"/>
      <c r="Q124" s="125" t="n"/>
    </row>
    <row r="125">
      <c r="A125" s="101" t="n"/>
      <c r="B125" s="99" t="n"/>
      <c r="C125" s="99" t="n"/>
      <c r="D125" s="99" t="n"/>
      <c r="E125" s="99" t="n"/>
      <c r="F125" s="99" t="n"/>
      <c r="G125" s="99" t="n"/>
      <c r="H125" s="101" t="n"/>
      <c r="I125" s="103" t="n"/>
      <c r="J125" s="104" t="n"/>
      <c r="K125" s="105" t="n"/>
      <c r="L125" s="106" t="n"/>
      <c r="M125" s="125" t="n"/>
      <c r="N125" s="125" t="n"/>
      <c r="O125" s="125" t="n"/>
      <c r="P125" s="125" t="n"/>
      <c r="Q125" s="125" t="n"/>
    </row>
    <row r="126">
      <c r="A126" s="107" t="inlineStr">
        <is>
          <t>THANK YOU FOR YOUR BUSINESS!</t>
        </is>
      </c>
      <c r="M126" s="125" t="n"/>
      <c r="N126" s="125" t="n"/>
      <c r="O126" s="125" t="n"/>
      <c r="P126" s="125" t="n"/>
      <c r="Q126" s="125" t="n"/>
    </row>
    <row r="127">
      <c r="A127" s="101" t="n"/>
      <c r="B127" s="108" t="n"/>
      <c r="C127" s="109" t="n"/>
      <c r="D127" s="12" t="n"/>
      <c r="E127" s="12" t="n"/>
      <c r="F127" s="12" t="n"/>
      <c r="G127" s="12" t="n"/>
      <c r="H127" s="13" t="n"/>
      <c r="I127" s="12" t="n"/>
      <c r="J127" s="13" t="n"/>
      <c r="K127" s="12" t="n"/>
      <c r="L127" s="13" t="n"/>
      <c r="M127" s="125" t="n"/>
      <c r="N127" s="125" t="n"/>
      <c r="O127" s="125" t="n"/>
      <c r="P127" s="125" t="n"/>
      <c r="Q127" s="125" t="n"/>
    </row>
    <row r="128">
      <c r="A128" s="101" t="n"/>
      <c r="B128" s="108" t="n"/>
      <c r="C128" s="109" t="n"/>
      <c r="D128" s="12" t="n"/>
      <c r="E128" s="12" t="n"/>
      <c r="F128" s="12" t="n"/>
      <c r="G128" s="12" t="n"/>
      <c r="H128" s="13" t="n"/>
      <c r="I128" s="12" t="n"/>
      <c r="J128" s="13" t="n"/>
      <c r="K128" s="12" t="n"/>
      <c r="L128" s="13" t="n"/>
      <c r="M128" s="125" t="n"/>
      <c r="N128" s="125" t="n"/>
      <c r="O128" s="125" t="n"/>
      <c r="P128" s="125" t="n"/>
      <c r="Q128" s="125" t="n"/>
    </row>
    <row r="129">
      <c r="A129" s="101" t="n"/>
      <c r="B129" s="108" t="n"/>
      <c r="C129" s="109" t="n"/>
      <c r="D129" s="12" t="n"/>
      <c r="E129" s="110" t="n"/>
      <c r="F129" s="110" t="n"/>
      <c r="G129" s="108" t="n"/>
      <c r="H129" s="104" t="n"/>
      <c r="I129" s="103" t="n"/>
      <c r="J129" s="104" t="n"/>
      <c r="K129" s="111" t="n"/>
      <c r="L129" s="104" t="n"/>
      <c r="M129" s="125" t="n"/>
      <c r="N129" s="125" t="n"/>
      <c r="O129" s="125" t="n"/>
      <c r="P129" s="125" t="n"/>
      <c r="Q129" s="125" t="n"/>
    </row>
    <row r="130">
      <c r="A130" s="101" t="n"/>
      <c r="B130" s="108" t="n"/>
      <c r="C130" s="109" t="n"/>
      <c r="D130" s="12" t="n"/>
      <c r="E130" s="12" t="n"/>
      <c r="F130" s="12" t="n"/>
      <c r="G130" s="12" t="n"/>
      <c r="H130" s="13" t="n"/>
      <c r="I130" s="12" t="n"/>
      <c r="J130" s="13" t="n"/>
      <c r="K130" s="12" t="n"/>
      <c r="L130" s="13" t="n"/>
      <c r="M130" s="125" t="n"/>
      <c r="N130" s="125" t="n"/>
      <c r="O130" s="125" t="n"/>
      <c r="P130" s="125" t="n"/>
      <c r="Q130" s="112" t="n"/>
    </row>
    <row r="131">
      <c r="A131" s="101" t="n"/>
      <c r="B131" s="108" t="n"/>
      <c r="C131" s="109" t="n"/>
      <c r="D131" s="12" t="n"/>
      <c r="E131" s="12" t="n"/>
      <c r="F131" s="12" t="n"/>
      <c r="G131" s="12" t="n"/>
      <c r="H131" s="13" t="n"/>
      <c r="I131" s="12" t="n"/>
      <c r="J131" s="13" t="n"/>
      <c r="K131" s="12" t="n"/>
      <c r="L131" s="13" t="n"/>
      <c r="M131" s="125" t="n"/>
      <c r="N131" s="125" t="n"/>
      <c r="O131" s="125" t="n"/>
      <c r="P131" s="125" t="n"/>
      <c r="Q131" s="125" t="n"/>
    </row>
    <row r="132">
      <c r="A132" s="113" t="n"/>
      <c r="B132" s="114" t="n"/>
      <c r="C132" s="114" t="n"/>
      <c r="D132" s="114" t="n"/>
      <c r="E132" s="114" t="n"/>
      <c r="F132" s="114" t="n"/>
      <c r="G132" s="114" t="n"/>
      <c r="H132" s="115" t="n"/>
      <c r="I132" s="116" t="n"/>
      <c r="J132" s="113" t="n"/>
      <c r="K132" s="114" t="n"/>
      <c r="L132" s="113" t="n"/>
      <c r="M132" s="125" t="n"/>
      <c r="N132" s="125" t="n"/>
      <c r="O132" s="125" t="n"/>
      <c r="P132" s="125" t="n"/>
      <c r="Q132" s="125" t="n"/>
    </row>
    <row r="133">
      <c r="A133" s="124" t="n"/>
      <c r="B133" s="125" t="n"/>
      <c r="C133" s="125" t="n"/>
      <c r="D133" s="125" t="n"/>
      <c r="E133" s="125" t="n"/>
      <c r="F133" s="125" t="n"/>
      <c r="G133" s="125" t="n"/>
      <c r="H133" s="124" t="n"/>
      <c r="I133" s="125" t="n"/>
      <c r="J133" s="126" t="n"/>
      <c r="K133" s="127" t="n"/>
      <c r="L133" s="124" t="n"/>
      <c r="M133" s="125" t="n"/>
      <c r="N133" s="125" t="n"/>
      <c r="O133" s="125" t="n"/>
      <c r="P133" s="125" t="n"/>
      <c r="Q133" s="125" t="n"/>
    </row>
    <row r="134">
      <c r="A134" s="124" t="n"/>
      <c r="B134" s="125" t="n"/>
      <c r="C134" s="120" t="n"/>
      <c r="D134" s="120" t="n"/>
      <c r="E134" s="125" t="n"/>
      <c r="F134" s="125" t="n"/>
      <c r="G134" s="125" t="n"/>
      <c r="H134" s="124" t="n"/>
      <c r="I134" s="125" t="n"/>
      <c r="J134" s="126" t="n"/>
      <c r="K134" s="127" t="n"/>
      <c r="L134" s="124" t="n"/>
      <c r="M134" s="125" t="n"/>
      <c r="N134" s="125" t="n"/>
      <c r="O134" s="125" t="n"/>
      <c r="P134" s="125" t="n"/>
      <c r="Q134" s="125" t="n"/>
    </row>
    <row r="135">
      <c r="A135" s="124" t="n"/>
      <c r="B135" s="125" t="n"/>
      <c r="C135" s="120" t="n"/>
      <c r="D135" s="120" t="n"/>
      <c r="E135" s="125" t="n"/>
      <c r="F135" s="125" t="n"/>
      <c r="G135" s="125" t="n"/>
      <c r="H135" s="124" t="n"/>
      <c r="I135" s="125" t="n"/>
      <c r="J135" s="121" t="n"/>
      <c r="K135" s="122" t="n"/>
      <c r="L135" s="123" t="n"/>
      <c r="M135" s="125" t="n"/>
      <c r="N135" s="125" t="n"/>
      <c r="O135" s="125" t="n"/>
      <c r="P135" s="125" t="n"/>
      <c r="Q135" s="125" t="n"/>
    </row>
  </sheetData>
  <mergeCells count="32">
    <mergeCell ref="I34:J34"/>
    <mergeCell ref="H20:I20"/>
    <mergeCell ref="A37:L37"/>
    <mergeCell ref="K21:L21"/>
    <mergeCell ref="J7:L7"/>
    <mergeCell ref="H9:L9"/>
    <mergeCell ref="A2:L2"/>
    <mergeCell ref="F16:G18"/>
    <mergeCell ref="F21:G21"/>
    <mergeCell ref="K20:L20"/>
    <mergeCell ref="H21:I21"/>
    <mergeCell ref="F30:G30"/>
    <mergeCell ref="H13:J13"/>
    <mergeCell ref="F20:G20"/>
    <mergeCell ref="F32:G32"/>
    <mergeCell ref="H16:J18"/>
    <mergeCell ref="F8:G8"/>
    <mergeCell ref="H15:J15"/>
    <mergeCell ref="H7:I7"/>
    <mergeCell ref="I33:J33"/>
    <mergeCell ref="H8:J8"/>
    <mergeCell ref="F31:G31"/>
    <mergeCell ref="K6:L6"/>
    <mergeCell ref="A20:A21"/>
    <mergeCell ref="F22:G22"/>
    <mergeCell ref="B20:B21"/>
    <mergeCell ref="F9:G9"/>
    <mergeCell ref="I35:J35"/>
    <mergeCell ref="A1:L1"/>
    <mergeCell ref="H5:I5"/>
    <mergeCell ref="K4:L4"/>
    <mergeCell ref="C20:E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2025-08-06T02:54:15Z</dcterms:created>
  <dcterms:modified xmlns:dcterms="http://purl.org/dc/terms/" xmlns:xsi="http://www.w3.org/2001/XMLSchema-instance" xsi:type="dcterms:W3CDTF">2026-03-21T01:57:50Z</dcterms:modified>
</cp:coreProperties>
</file>