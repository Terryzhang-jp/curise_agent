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040" windowHeight="15720" tabRatio="600" firstSheet="0" activeTab="0" autoFilterDateGrouping="1"/>
  </bookViews>
  <sheets>
    <sheet name="0716発注書 (ML)" sheetId="1" state="visible" r:id="rId1"/>
  </sheets>
  <definedNames>
    <definedName name="_xlnm.Print_Area" localSheetId="0">'0716発注書 (ML)'!$A$1:$L$37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&quot;¥&quot;#,##0_);[Red]\(&quot;¥&quot;#,##0\)"/>
    <numFmt numFmtId="166" formatCode="0.00_);\(0.00\)"/>
    <numFmt numFmtId="167" formatCode="yyyy\-mm\-dd;@"/>
    <numFmt numFmtId="168" formatCode="yyyy/m/d;@"/>
  </numFmts>
  <fonts count="72">
    <font>
      <name val="Aptos Narrow"/>
      <charset val="128"/>
      <family val="2"/>
      <color theme="1"/>
      <sz val="11"/>
      <scheme val="minor"/>
    </font>
    <font>
      <name val="Times New Roman"/>
      <family val="1"/>
      <color rgb="FF000000"/>
      <sz val="10"/>
    </font>
    <font>
      <name val="Aptos Narrow"/>
      <charset val="128"/>
      <family val="2"/>
      <sz val="6"/>
      <scheme val="minor"/>
    </font>
    <font>
      <name val="Aptos Narrow"/>
      <family val="2"/>
      <color theme="1"/>
      <sz val="11"/>
      <scheme val="minor"/>
    </font>
    <font>
      <name val="宋体"/>
      <charset val="128"/>
      <family val="3"/>
      <sz val="12"/>
    </font>
    <font>
      <name val="Aptos Narrow"/>
      <charset val="128"/>
      <family val="3"/>
      <sz val="6"/>
      <scheme val="minor"/>
    </font>
    <font>
      <name val="Aptos Narrow"/>
      <charset val="128"/>
      <family val="3"/>
      <color theme="1"/>
      <sz val="11"/>
      <scheme val="minor"/>
    </font>
    <font>
      <name val="Aptos Narrow"/>
      <charset val="128"/>
      <family val="3"/>
      <sz val="11"/>
      <scheme val="minor"/>
    </font>
    <font>
      <name val="Aptos Narrow"/>
      <charset val="128"/>
      <family val="3"/>
      <sz val="8"/>
      <scheme val="minor"/>
    </font>
    <font>
      <name val="Aptos Narrow"/>
      <charset val="128"/>
      <family val="3"/>
      <sz val="7"/>
      <scheme val="minor"/>
    </font>
    <font>
      <name val="宋体"/>
      <charset val="134"/>
      <color indexed="8"/>
      <sz val="14"/>
    </font>
    <font>
      <name val="宋体"/>
      <charset val="128"/>
      <family val="3"/>
      <sz val="14"/>
    </font>
    <font>
      <name val="Arial"/>
      <family val="2"/>
      <sz val="10"/>
    </font>
    <font>
      <name val="宋体"/>
      <charset val="134"/>
      <sz val="16"/>
    </font>
    <font>
      <name val="HGPｺﾞｼｯｸM"/>
      <charset val="128"/>
      <family val="3"/>
      <sz val="12"/>
    </font>
    <font>
      <name val="宋体"/>
      <charset val="134"/>
      <sz val="11"/>
    </font>
    <font>
      <name val="돋움"/>
      <charset val="129"/>
      <family val="2"/>
      <sz val="11"/>
    </font>
    <font>
      <name val="宋体"/>
      <charset val="134"/>
      <b val="1"/>
      <sz val="10"/>
    </font>
    <font>
      <name val="游ゴシック"/>
      <charset val="128"/>
      <family val="3"/>
      <sz val="12"/>
    </font>
    <font>
      <name val="宋体"/>
      <charset val="134"/>
      <sz val="10"/>
    </font>
    <font>
      <name val="宋体"/>
      <charset val="128"/>
      <family val="3"/>
      <sz val="12"/>
    </font>
    <font>
      <name val="Aptos Narrow"/>
      <charset val="128"/>
      <family val="3"/>
      <color theme="10"/>
      <sz val="11"/>
      <u val="single"/>
      <scheme val="minor"/>
    </font>
    <font>
      <name val="HGPｺﾞｼｯｸM"/>
      <charset val="128"/>
      <family val="3"/>
      <color theme="1"/>
      <sz val="12"/>
    </font>
    <font>
      <name val="HGPｺﾞｼｯｸM"/>
      <charset val="128"/>
      <family val="3"/>
      <b val="1"/>
      <color theme="1"/>
      <sz val="11"/>
    </font>
    <font>
      <name val="HGPｺﾞｼｯｸM"/>
      <charset val="128"/>
      <family val="3"/>
      <color theme="1"/>
      <sz val="11"/>
    </font>
    <font>
      <name val="HGPｺﾞｼｯｸM"/>
      <charset val="128"/>
      <family val="3"/>
      <color theme="1"/>
      <sz val="12"/>
      <u val="single"/>
    </font>
    <font>
      <name val="HGPｺﾞｼｯｸM"/>
      <charset val="128"/>
      <family val="3"/>
      <color theme="1"/>
      <sz val="14"/>
    </font>
    <font>
      <name val="宋体"/>
      <charset val="134"/>
      <b val="1"/>
      <sz val="18"/>
    </font>
    <font>
      <name val="宋体"/>
      <charset val="134"/>
      <color theme="1"/>
      <sz val="22"/>
      <u val="double"/>
    </font>
    <font>
      <name val="Aptos Display"/>
      <family val="2"/>
      <b val="1"/>
      <sz val="12"/>
      <scheme val="major"/>
    </font>
    <font>
      <name val="Aptos Narrow"/>
      <charset val="128"/>
      <family val="3"/>
      <color theme="1"/>
      <sz val="14"/>
      <scheme val="minor"/>
    </font>
    <font>
      <name val="Aptos Display"/>
      <family val="2"/>
      <b val="1"/>
      <sz val="9"/>
      <scheme val="major"/>
    </font>
    <font>
      <name val="Aptos Display"/>
      <charset val="128"/>
      <family val="3"/>
      <b val="1"/>
      <sz val="9"/>
      <scheme val="major"/>
    </font>
    <font>
      <name val="ＭＳ Ｐゴシック"/>
      <charset val="128"/>
      <family val="3"/>
      <color theme="1"/>
      <sz val="11"/>
    </font>
    <font>
      <name val="Aptos Narrow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6"/>
    </font>
    <font>
      <name val="宋体"/>
      <charset val="134"/>
      <color theme="1"/>
      <sz val="18"/>
    </font>
    <font>
      <name val="Aptos Display"/>
      <family val="2"/>
      <b val="1"/>
      <sz val="11"/>
      <scheme val="major"/>
    </font>
    <font>
      <name val="Aptos Display"/>
      <charset val="128"/>
      <family val="3"/>
      <b val="1"/>
      <sz val="11"/>
      <scheme val="major"/>
    </font>
    <font>
      <name val="ＭＳ Ｐゴシック"/>
      <charset val="128"/>
      <family val="3"/>
      <sz val="6"/>
    </font>
    <font>
      <name val="HGPｺﾞｼｯｸM"/>
      <charset val="128"/>
      <family val="3"/>
      <sz val="11"/>
    </font>
    <font>
      <name val="HGPｺﾞｼｯｸM"/>
      <charset val="128"/>
      <family val="3"/>
      <sz val="12"/>
      <u val="single"/>
    </font>
    <font>
      <name val="Aptos Narrow"/>
      <charset val="128"/>
      <family val="2"/>
      <sz val="18"/>
      <scheme val="minor"/>
    </font>
    <font>
      <name val="Arial"/>
      <family val="2"/>
      <color indexed="8"/>
      <sz val="10"/>
    </font>
    <font>
      <name val="Calibri"/>
      <family val="2"/>
      <color theme="1"/>
      <sz val="12"/>
    </font>
    <font>
      <name val="HGPｺﾞｼｯｸM"/>
      <charset val="128"/>
      <family val="3"/>
      <b val="1"/>
      <sz val="12"/>
    </font>
    <font>
      <name val="Times New Roman"/>
      <charset val="128"/>
      <family val="1"/>
      <b val="1"/>
      <color theme="0"/>
      <sz val="26"/>
    </font>
    <font>
      <name val="Times New Roman"/>
      <family val="1"/>
      <b val="1"/>
      <color theme="0"/>
      <sz val="26"/>
    </font>
    <font>
      <name val="SimSun"/>
      <charset val="134"/>
      <family val="3"/>
      <b val="1"/>
      <color theme="1"/>
      <sz val="48"/>
    </font>
    <font>
      <name val="Times New Roman"/>
      <charset val="128"/>
      <family val="1"/>
      <b val="1"/>
      <sz val="24"/>
    </font>
    <font>
      <name val="Times New Roman"/>
      <family val="1"/>
      <b val="1"/>
      <sz val="24"/>
    </font>
    <font>
      <name val="Meiryo UI"/>
      <charset val="128"/>
      <family val="1"/>
      <b val="1"/>
      <sz val="24"/>
    </font>
    <font>
      <name val="HGPｺﾞｼｯｸM"/>
      <charset val="128"/>
      <family val="3"/>
      <sz val="18"/>
    </font>
    <font>
      <name val="Aptos Narrow"/>
      <charset val="128"/>
      <family val="3"/>
      <sz val="16"/>
      <scheme val="minor"/>
    </font>
    <font>
      <name val="HGPｺﾞｼｯｸM"/>
      <charset val="128"/>
      <family val="3"/>
      <b val="1"/>
      <color theme="1"/>
      <sz val="16"/>
      <u val="single"/>
    </font>
    <font>
      <name val="Aptos Narrow"/>
      <charset val="128"/>
      <family val="3"/>
      <b val="1"/>
      <sz val="14"/>
      <scheme val="minor"/>
    </font>
    <font>
      <name val="Aptos Narrow"/>
      <charset val="128"/>
      <family val="2"/>
      <color theme="10"/>
      <sz val="11"/>
      <u val="single"/>
      <scheme val="minor"/>
    </font>
    <font>
      <name val="游ゴシック"/>
      <charset val="128"/>
      <family val="3"/>
      <sz val="11"/>
    </font>
    <font>
      <name val="Calibri"/>
      <family val="2"/>
      <b val="1"/>
      <sz val="14"/>
    </font>
    <font>
      <name val="Calibri"/>
      <family val="2"/>
      <b val="1"/>
      <color theme="1"/>
      <sz val="14"/>
    </font>
    <font>
      <name val="Calibri"/>
      <family val="2"/>
      <color indexed="8"/>
      <sz val="12"/>
    </font>
    <font>
      <name val="Aptos Narrow"/>
      <charset val="128"/>
      <family val="2"/>
      <color theme="1"/>
      <sz val="11"/>
      <scheme val="minor"/>
    </font>
    <font>
      <name val="宋体"/>
      <charset val="134"/>
      <b val="1"/>
      <sz val="11"/>
      <u val="single"/>
    </font>
    <font>
      <name val="Calibri"/>
      <family val="2"/>
      <color indexed="8"/>
      <sz val="11"/>
    </font>
    <font>
      <name val="HGPｺﾞｼｯｸM"/>
      <charset val="128"/>
      <family val="3"/>
      <b val="1"/>
      <sz val="11"/>
    </font>
    <font>
      <name val="Malgun Gothic"/>
      <charset val="129"/>
      <family val="3"/>
      <sz val="12"/>
    </font>
    <font>
      <name val="Calibri"/>
      <family val="2"/>
      <sz val="12"/>
    </font>
    <font>
      <name val="Calibri"/>
      <family val="2"/>
      <sz val="14"/>
    </font>
    <font>
      <b val="1"/>
    </font>
    <font>
      <b val="1"/>
      <sz val="10"/>
    </font>
    <font>
      <name val="Calibri"/>
      <b val="1"/>
      <color theme="1"/>
      <sz val="11"/>
    </font>
    <font>
      <name val="HGPｺﾞｼｯｸM"/>
      <color theme="1"/>
      <sz val="1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>
        <color auto="1"/>
      </right>
      <top style="thin"/>
      <bottom style="thin">
        <color auto="1"/>
      </bottom>
    </border>
    <border>
      <left/>
      <right/>
      <top style="thin"/>
      <bottom/>
      <diagonal/>
    </border>
    <border>
      <left/>
      <right style="thin">
        <color auto="1"/>
      </right>
      <top style="thin"/>
      <bottom/>
      <diagonal/>
    </border>
    <border>
      <left/>
      <right style="thin">
        <color auto="1"/>
      </right>
      <top style="thin"/>
      <bottom style="thin">
        <color auto="1"/>
      </bottom>
      <diagonal/>
    </border>
    <border/>
  </borders>
  <cellStyleXfs count="18">
    <xf numFmtId="0" fontId="61" fillId="0" borderId="0" applyAlignment="1">
      <alignment vertical="center"/>
    </xf>
    <xf numFmtId="0" fontId="1" fillId="0" borderId="0"/>
    <xf numFmtId="0" fontId="3" fillId="0" borderId="0"/>
    <xf numFmtId="0" fontId="20" fillId="0" borderId="0"/>
    <xf numFmtId="0" fontId="6" fillId="0" borderId="0" applyAlignment="1">
      <alignment vertical="center"/>
    </xf>
    <xf numFmtId="0" fontId="12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6" fillId="0" borderId="0" applyAlignment="1">
      <alignment vertical="center"/>
    </xf>
    <xf numFmtId="0" fontId="16" fillId="0" borderId="0"/>
    <xf numFmtId="0" fontId="21" fillId="0" borderId="0" applyAlignment="1">
      <alignment vertical="center"/>
    </xf>
    <xf numFmtId="0" fontId="12" fillId="0" borderId="0"/>
    <xf numFmtId="38" fontId="3" fillId="0" borderId="0" applyAlignment="1">
      <alignment vertical="center"/>
    </xf>
    <xf numFmtId="0" fontId="12" fillId="0" borderId="0"/>
    <xf numFmtId="0" fontId="43" fillId="0" borderId="0"/>
    <xf numFmtId="0" fontId="56" fillId="0" borderId="0" applyAlignment="1">
      <alignment vertical="center"/>
    </xf>
    <xf numFmtId="38" fontId="61" fillId="0" borderId="0" applyAlignment="1">
      <alignment vertical="center"/>
    </xf>
  </cellStyleXfs>
  <cellXfs count="181">
    <xf numFmtId="0" fontId="0" fillId="0" borderId="0" applyAlignment="1" pivotButton="0" quotePrefix="0" xfId="0">
      <alignment vertical="center"/>
    </xf>
    <xf numFmtId="0" fontId="4" fillId="0" borderId="7" applyAlignment="1" pivotButton="0" quotePrefix="0" xfId="3">
      <alignment horizontal="center" vertical="center" wrapText="1"/>
    </xf>
    <xf numFmtId="0" fontId="7" fillId="0" borderId="0" applyAlignment="1" pivotButton="0" quotePrefix="0" xfId="4">
      <alignment horizontal="center" vertical="center"/>
    </xf>
    <xf numFmtId="0" fontId="4" fillId="0" borderId="0" applyAlignment="1" pivotButton="0" quotePrefix="0" xfId="3">
      <alignment horizontal="center" vertical="center"/>
    </xf>
    <xf numFmtId="0" fontId="6" fillId="0" borderId="0" applyAlignment="1" pivotButton="0" quotePrefix="0" xfId="8">
      <alignment vertical="center"/>
    </xf>
    <xf numFmtId="0" fontId="13" fillId="0" borderId="0" applyAlignment="1" pivotButton="0" quotePrefix="0" xfId="3">
      <alignment vertical="center"/>
    </xf>
    <xf numFmtId="0" fontId="4" fillId="0" borderId="0" applyAlignment="1" pivotButton="0" quotePrefix="0" xfId="3">
      <alignment vertical="center"/>
    </xf>
    <xf numFmtId="0" fontId="14" fillId="0" borderId="0" applyAlignment="1" pivotButton="0" quotePrefix="0" xfId="3">
      <alignment horizontal="right" vertical="center"/>
    </xf>
    <xf numFmtId="0" fontId="15" fillId="0" borderId="0" pivotButton="0" quotePrefix="0" xfId="3"/>
    <xf numFmtId="0" fontId="17" fillId="0" borderId="0" applyAlignment="1" pivotButton="0" quotePrefix="0" xfId="9">
      <alignment horizontal="left" vertical="center" indent="1"/>
    </xf>
    <xf numFmtId="0" fontId="17" fillId="0" borderId="0" applyAlignment="1" pivotButton="0" quotePrefix="0" xfId="10">
      <alignment horizontal="left" vertical="center" indent="1"/>
    </xf>
    <xf numFmtId="0" fontId="14" fillId="0" borderId="0" applyAlignment="1" pivotButton="0" quotePrefix="0" xfId="3">
      <alignment horizontal="left" vertical="center"/>
    </xf>
    <xf numFmtId="0" fontId="15" fillId="0" borderId="0" applyAlignment="1" pivotButton="0" quotePrefix="0" xfId="3">
      <alignment vertical="center"/>
    </xf>
    <xf numFmtId="0" fontId="19" fillId="0" borderId="0" applyAlignment="1" pivotButton="0" quotePrefix="0" xfId="9">
      <alignment vertical="center"/>
    </xf>
    <xf numFmtId="0" fontId="19" fillId="0" borderId="0" applyAlignment="1" pivotButton="0" quotePrefix="0" xfId="10">
      <alignment horizontal="left" vertical="center" indent="1"/>
    </xf>
    <xf numFmtId="0" fontId="20" fillId="0" borderId="0" applyAlignment="1" pivotButton="0" quotePrefix="0" xfId="3">
      <alignment vertical="center"/>
    </xf>
    <xf numFmtId="0" fontId="21" fillId="0" borderId="0" pivotButton="0" quotePrefix="0" xfId="11"/>
    <xf numFmtId="0" fontId="21" fillId="0" borderId="0" applyAlignment="1" pivotButton="0" quotePrefix="0" xfId="11">
      <alignment vertical="center"/>
    </xf>
    <xf numFmtId="0" fontId="22" fillId="0" borderId="0" applyAlignment="1" pivotButton="0" quotePrefix="0" xfId="2">
      <alignment horizontal="left" vertical="center"/>
    </xf>
    <xf numFmtId="164" fontId="24" fillId="0" borderId="0" applyAlignment="1" pivotButton="0" quotePrefix="0" xfId="2">
      <alignment vertical="center"/>
    </xf>
    <xf numFmtId="0" fontId="24" fillId="0" borderId="0" applyAlignment="1" pivotButton="0" quotePrefix="0" xfId="2">
      <alignment horizontal="left" vertical="center"/>
    </xf>
    <xf numFmtId="0" fontId="22" fillId="0" borderId="0" applyAlignment="1" pivotButton="0" quotePrefix="0" xfId="2">
      <alignment vertical="center"/>
    </xf>
    <xf numFmtId="0" fontId="14" fillId="0" borderId="0" applyAlignment="1" pivotButton="0" quotePrefix="0" xfId="3">
      <alignment vertical="center"/>
    </xf>
    <xf numFmtId="0" fontId="4" fillId="0" borderId="0" pivotButton="0" quotePrefix="0" xfId="3"/>
    <xf numFmtId="0" fontId="25" fillId="0" borderId="0" applyAlignment="1" pivotButton="0" quotePrefix="0" xfId="2">
      <alignment vertical="center"/>
    </xf>
    <xf numFmtId="0" fontId="25" fillId="0" borderId="0" applyAlignment="1" pivotButton="0" quotePrefix="0" xfId="2">
      <alignment horizontal="left" vertical="center"/>
    </xf>
    <xf numFmtId="0" fontId="13" fillId="0" borderId="0" pivotButton="0" quotePrefix="0" xfId="3"/>
    <xf numFmtId="0" fontId="14" fillId="0" borderId="0" applyAlignment="1" pivotButton="0" quotePrefix="0" xfId="3">
      <alignment vertical="center" shrinkToFit="1"/>
    </xf>
    <xf numFmtId="0" fontId="21" fillId="0" borderId="0" applyAlignment="1" pivotButton="0" quotePrefix="0" xfId="11">
      <alignment vertical="center"/>
    </xf>
    <xf numFmtId="165" fontId="28" fillId="0" borderId="0" applyAlignment="1" pivotButton="0" quotePrefix="0" xfId="3">
      <alignment horizontal="center" vertical="center"/>
    </xf>
    <xf numFmtId="0" fontId="29" fillId="3" borderId="2" applyAlignment="1" pivotButton="0" quotePrefix="0" xfId="3">
      <alignment horizontal="center" vertical="center"/>
    </xf>
    <xf numFmtId="0" fontId="30" fillId="0" borderId="0" applyAlignment="1" pivotButton="0" quotePrefix="0" xfId="8">
      <alignment vertical="center"/>
    </xf>
    <xf numFmtId="0" fontId="31" fillId="3" borderId="6" applyAlignment="1" pivotButton="0" quotePrefix="0" xfId="3">
      <alignment horizontal="center" vertical="center" wrapText="1"/>
    </xf>
    <xf numFmtId="0" fontId="29" fillId="3" borderId="7" applyAlignment="1" pivotButton="0" quotePrefix="0" xfId="3">
      <alignment horizontal="center" vertical="center"/>
    </xf>
    <xf numFmtId="0" fontId="4" fillId="3" borderId="15" applyAlignment="1" pivotButton="0" quotePrefix="0" xfId="3">
      <alignment vertical="center"/>
    </xf>
    <xf numFmtId="3" fontId="26" fillId="0" borderId="7" applyAlignment="1" pivotButton="0" quotePrefix="0" xfId="2">
      <alignment horizontal="center" vertical="center"/>
    </xf>
    <xf numFmtId="38" fontId="26" fillId="0" borderId="7" applyAlignment="1" pivotButton="0" quotePrefix="0" xfId="2">
      <alignment horizontal="right" vertical="center"/>
    </xf>
    <xf numFmtId="0" fontId="4" fillId="3" borderId="0" applyAlignment="1" pivotButton="0" quotePrefix="0" xfId="3">
      <alignment vertical="center"/>
    </xf>
    <xf numFmtId="0" fontId="7" fillId="0" borderId="0" applyAlignment="1" pivotButton="0" quotePrefix="0" xfId="8">
      <alignment horizontal="center" vertical="center"/>
    </xf>
    <xf numFmtId="0" fontId="8" fillId="0" borderId="0" applyAlignment="1" pivotButton="0" quotePrefix="0" xfId="8">
      <alignment horizontal="center" vertical="center"/>
    </xf>
    <xf numFmtId="0" fontId="9" fillId="0" borderId="0" applyAlignment="1" pivotButton="0" quotePrefix="0" xfId="8">
      <alignment horizontal="center" vertical="center"/>
    </xf>
    <xf numFmtId="38" fontId="26" fillId="0" borderId="6" applyAlignment="1" pivotButton="0" quotePrefix="0" xfId="3">
      <alignment horizontal="right" vertical="center"/>
    </xf>
    <xf numFmtId="38" fontId="26" fillId="0" borderId="7" applyAlignment="1" pivotButton="0" quotePrefix="0" xfId="3">
      <alignment horizontal="right" vertical="center"/>
    </xf>
    <xf numFmtId="0" fontId="10" fillId="0" borderId="0" applyAlignment="1" pivotButton="0" quotePrefix="0" xfId="3">
      <alignment horizontal="center" vertical="center"/>
    </xf>
    <xf numFmtId="0" fontId="15" fillId="0" borderId="0" applyAlignment="1" pivotButton="0" quotePrefix="0" xfId="3">
      <alignment horizontal="center"/>
    </xf>
    <xf numFmtId="0" fontId="11" fillId="0" borderId="0" applyAlignment="1" pivotButton="0" quotePrefix="0" xfId="3">
      <alignment horizontal="right" vertical="center"/>
    </xf>
    <xf numFmtId="0" fontId="11" fillId="0" borderId="0" applyAlignment="1" pivotButton="0" quotePrefix="0" xfId="3">
      <alignment horizontal="center" vertical="center"/>
    </xf>
    <xf numFmtId="38" fontId="11" fillId="0" borderId="0" applyAlignment="1" pivotButton="0" quotePrefix="0" xfId="3">
      <alignment horizontal="right" vertical="center"/>
    </xf>
    <xf numFmtId="0" fontId="33" fillId="0" borderId="0" applyAlignment="1" pivotButton="0" quotePrefix="0" xfId="8">
      <alignment vertical="center"/>
    </xf>
    <xf numFmtId="0" fontId="34" fillId="0" borderId="0" applyAlignment="1" pivotButton="0" quotePrefix="0" xfId="8">
      <alignment horizontal="center" vertical="center"/>
    </xf>
    <xf numFmtId="0" fontId="6" fillId="2" borderId="0" applyAlignment="1" pivotButton="0" quotePrefix="0" xfId="8">
      <alignment vertical="center"/>
    </xf>
    <xf numFmtId="0" fontId="35" fillId="0" borderId="0" applyAlignment="1" pivotButton="0" quotePrefix="0" xfId="8">
      <alignment horizontal="center" vertical="center"/>
    </xf>
    <xf numFmtId="0" fontId="36" fillId="0" borderId="0" applyAlignment="1" pivotButton="0" quotePrefix="0" xfId="8">
      <alignment vertical="center"/>
    </xf>
    <xf numFmtId="3" fontId="26" fillId="0" borderId="6" applyAlignment="1" pivotButton="0" quotePrefix="0" xfId="2">
      <alignment horizontal="center" vertical="center"/>
    </xf>
    <xf numFmtId="0" fontId="14" fillId="0" borderId="0" applyAlignment="1" pivotButton="0" quotePrefix="0" xfId="2">
      <alignment vertical="center"/>
    </xf>
    <xf numFmtId="0" fontId="42" fillId="0" borderId="0" applyAlignment="1" pivotButton="0" quotePrefix="0" xfId="8">
      <alignment horizontal="center" vertical="center"/>
    </xf>
    <xf numFmtId="0" fontId="7" fillId="0" borderId="0" applyAlignment="1" pivotButton="0" quotePrefix="0" xfId="8">
      <alignment vertical="center"/>
    </xf>
    <xf numFmtId="38" fontId="14" fillId="0" borderId="17" applyAlignment="1" pivotButton="0" quotePrefix="0" xfId="13">
      <alignment horizontal="center" vertical="center"/>
    </xf>
    <xf numFmtId="0" fontId="46" fillId="0" borderId="0" applyAlignment="1" pivotButton="0" quotePrefix="0" xfId="3">
      <alignment horizontal="right" vertical="center"/>
    </xf>
    <xf numFmtId="0" fontId="47" fillId="0" borderId="0" applyAlignment="1" pivotButton="0" quotePrefix="0" xfId="3">
      <alignment horizontal="right" vertical="center"/>
    </xf>
    <xf numFmtId="0" fontId="3" fillId="0" borderId="0" applyAlignment="1" pivotButton="0" quotePrefix="0" xfId="2">
      <alignment vertical="center"/>
    </xf>
    <xf numFmtId="0" fontId="22" fillId="0" borderId="0" applyAlignment="1" pivotButton="0" quotePrefix="0" xfId="2">
      <alignment horizontal="right" vertical="center"/>
    </xf>
    <xf numFmtId="0" fontId="56" fillId="0" borderId="0" pivotButton="0" quotePrefix="0" xfId="16"/>
    <xf numFmtId="166" fontId="58" fillId="0" borderId="16" applyAlignment="1" pivotButton="0" quotePrefix="0" xfId="0">
      <alignment horizontal="center" vertical="center"/>
    </xf>
    <xf numFmtId="38" fontId="59" fillId="0" borderId="17" applyAlignment="1" pivotButton="0" quotePrefix="0" xfId="13">
      <alignment vertical="center"/>
    </xf>
    <xf numFmtId="0" fontId="40" fillId="0" borderId="17" applyAlignment="1" pivotButton="0" quotePrefix="0" xfId="0">
      <alignment horizontal="left" vertical="center" wrapText="1"/>
    </xf>
    <xf numFmtId="38" fontId="6" fillId="0" borderId="0" applyAlignment="1" pivotButton="0" quotePrefix="0" xfId="17">
      <alignment vertical="center"/>
    </xf>
    <xf numFmtId="0" fontId="40" fillId="0" borderId="7" applyAlignment="1" pivotButton="0" quotePrefix="0" xfId="0">
      <alignment horizontal="left" vertical="center" wrapText="1"/>
    </xf>
    <xf numFmtId="0" fontId="55" fillId="0" borderId="0" applyAlignment="1" pivotButton="0" quotePrefix="0" xfId="8">
      <alignment vertical="center" wrapText="1"/>
    </xf>
    <xf numFmtId="3" fontId="26" fillId="0" borderId="0" applyAlignment="1" pivotButton="0" quotePrefix="0" xfId="2">
      <alignment horizontal="center" vertical="center"/>
    </xf>
    <xf numFmtId="38" fontId="26" fillId="0" borderId="0" applyAlignment="1" pivotButton="0" quotePrefix="0" xfId="3">
      <alignment horizontal="right" vertical="center"/>
    </xf>
    <xf numFmtId="0" fontId="14" fillId="0" borderId="17" applyAlignment="1" pivotButton="0" quotePrefix="0" xfId="0">
      <alignment horizontal="left" vertical="center" wrapText="1"/>
    </xf>
    <xf numFmtId="3" fontId="26" fillId="0" borderId="17" applyAlignment="1" pivotButton="0" quotePrefix="0" xfId="2">
      <alignment horizontal="center" vertical="center"/>
    </xf>
    <xf numFmtId="38" fontId="26" fillId="0" borderId="17" applyAlignment="1" pivotButton="0" quotePrefix="0" xfId="2">
      <alignment horizontal="right" vertical="center"/>
    </xf>
    <xf numFmtId="0" fontId="64" fillId="0" borderId="17" applyAlignment="1" pivotButton="0" quotePrefix="0" xfId="3">
      <alignment horizontal="center" vertical="center" wrapText="1"/>
    </xf>
    <xf numFmtId="0" fontId="60" fillId="0" borderId="17" applyAlignment="1" pivotButton="0" quotePrefix="0" xfId="0">
      <alignment horizontal="center" vertical="center"/>
    </xf>
    <xf numFmtId="0" fontId="63" fillId="0" borderId="17" applyAlignment="1" pivotButton="0" quotePrefix="0" xfId="0">
      <alignment vertical="center" wrapText="1"/>
    </xf>
    <xf numFmtId="0" fontId="40" fillId="0" borderId="17" applyAlignment="1" pivotButton="0" quotePrefix="0" xfId="3">
      <alignment horizontal="center" vertical="center" wrapText="1"/>
    </xf>
    <xf numFmtId="0" fontId="44" fillId="0" borderId="17" applyAlignment="1" pivotButton="0" quotePrefix="0" xfId="2">
      <alignment horizontal="center" vertical="center"/>
    </xf>
    <xf numFmtId="0" fontId="44" fillId="0" borderId="17" applyAlignment="1" pivotButton="0" quotePrefix="0" xfId="2">
      <alignment vertical="center"/>
    </xf>
    <xf numFmtId="0" fontId="66" fillId="0" borderId="17" applyAlignment="1" pivotButton="0" quotePrefix="0" xfId="3">
      <alignment horizontal="center" vertical="center" wrapText="1"/>
    </xf>
    <xf numFmtId="0" fontId="67" fillId="0" borderId="17" applyAlignment="1" pivotButton="0" quotePrefix="0" xfId="3">
      <alignment horizontal="center" vertical="center" wrapText="1"/>
    </xf>
    <xf numFmtId="0" fontId="44" fillId="0" borderId="20" applyAlignment="1" pivotButton="0" quotePrefix="0" xfId="4">
      <alignment horizontal="left" vertical="center" wrapText="1"/>
    </xf>
    <xf numFmtId="0" fontId="44" fillId="0" borderId="21" applyAlignment="1" pivotButton="0" quotePrefix="0" xfId="4">
      <alignment horizontal="left" vertical="center" wrapText="1"/>
    </xf>
    <xf numFmtId="0" fontId="45" fillId="4" borderId="0" applyAlignment="1" pivotButton="0" quotePrefix="0" xfId="3">
      <alignment horizontal="left" vertical="center"/>
    </xf>
    <xf numFmtId="0" fontId="14" fillId="4" borderId="0" applyAlignment="1" pivotButton="0" quotePrefix="0" xfId="3">
      <alignment horizontal="left" vertical="center"/>
    </xf>
    <xf numFmtId="164" fontId="23" fillId="4" borderId="0" applyAlignment="1" pivotButton="0" quotePrefix="0" xfId="2">
      <alignment vertical="center"/>
    </xf>
    <xf numFmtId="0" fontId="14" fillId="4" borderId="0" applyAlignment="1" pivotButton="0" quotePrefix="0" xfId="2">
      <alignment vertical="center"/>
    </xf>
    <xf numFmtId="0" fontId="41" fillId="4" borderId="0" applyAlignment="1" pivotButton="0" quotePrefix="0" xfId="2">
      <alignment vertical="center"/>
    </xf>
    <xf numFmtId="0" fontId="25" fillId="4" borderId="0" applyAlignment="1" pivotButton="0" quotePrefix="0" xfId="2">
      <alignment vertical="center"/>
    </xf>
    <xf numFmtId="0" fontId="26" fillId="4" borderId="0" applyAlignment="1" pivotButton="0" quotePrefix="0" xfId="2">
      <alignment vertical="center"/>
    </xf>
    <xf numFmtId="0" fontId="22" fillId="4" borderId="0" applyAlignment="1" pivotButton="0" quotePrefix="0" xfId="2">
      <alignment vertical="center"/>
    </xf>
    <xf numFmtId="0" fontId="14" fillId="4" borderId="0" applyAlignment="1" pivotButton="0" quotePrefix="0" xfId="3">
      <alignment vertical="center"/>
    </xf>
    <xf numFmtId="0" fontId="44" fillId="0" borderId="7" applyAlignment="1" pivotButton="0" quotePrefix="0" xfId="0">
      <alignment vertical="center" wrapText="1"/>
    </xf>
    <xf numFmtId="0" fontId="44" fillId="0" borderId="17" applyAlignment="1" pivotButton="0" quotePrefix="0" xfId="0">
      <alignment vertical="center" wrapText="1"/>
    </xf>
    <xf numFmtId="0" fontId="48" fillId="0" borderId="0" applyAlignment="1" pivotButton="0" quotePrefix="0" xfId="2">
      <alignment horizontal="right" vertical="center"/>
    </xf>
    <xf numFmtId="167" fontId="14" fillId="4" borderId="0" applyAlignment="1" pivotButton="0" quotePrefix="0" xfId="3">
      <alignment horizontal="left" vertical="center"/>
    </xf>
    <xf numFmtId="0" fontId="18" fillId="0" borderId="0" applyAlignment="1" pivotButton="0" quotePrefix="0" xfId="3">
      <alignment horizontal="left" vertical="center"/>
    </xf>
    <xf numFmtId="0" fontId="4" fillId="0" borderId="0" applyAlignment="1" pivotButton="0" quotePrefix="0" xfId="3">
      <alignment vertical="center"/>
    </xf>
    <xf numFmtId="167" fontId="19" fillId="0" borderId="0" applyAlignment="1" pivotButton="0" quotePrefix="0" xfId="10">
      <alignment horizontal="center" vertical="center"/>
    </xf>
    <xf numFmtId="0" fontId="49" fillId="4" borderId="0" applyAlignment="1" pivotButton="0" quotePrefix="0" xfId="3">
      <alignment horizontal="right" vertical="center"/>
    </xf>
    <xf numFmtId="0" fontId="50" fillId="4" borderId="0" applyAlignment="1" pivotButton="0" quotePrefix="0" xfId="3">
      <alignment horizontal="right" vertical="center"/>
    </xf>
    <xf numFmtId="0" fontId="22" fillId="4" borderId="0" applyAlignment="1" pivotButton="0" quotePrefix="0" xfId="2">
      <alignment horizontal="left" vertical="center"/>
    </xf>
    <xf numFmtId="167" fontId="62" fillId="0" borderId="0" applyAlignment="1" pivotButton="0" quotePrefix="0" xfId="10">
      <alignment horizontal="right"/>
    </xf>
    <xf numFmtId="0" fontId="37" fillId="3" borderId="4" applyAlignment="1" pivotButton="0" quotePrefix="0" xfId="3">
      <alignment horizontal="center" vertical="center" wrapText="1"/>
    </xf>
    <xf numFmtId="0" fontId="38" fillId="3" borderId="6" applyAlignment="1" pivotButton="0" quotePrefix="0" xfId="3">
      <alignment horizontal="center" vertical="center" wrapText="1"/>
    </xf>
    <xf numFmtId="0" fontId="29" fillId="3" borderId="2" applyAlignment="1" pivotButton="0" quotePrefix="0" xfId="3">
      <alignment horizontal="center" vertical="center"/>
    </xf>
    <xf numFmtId="0" fontId="29" fillId="3" borderId="3" applyAlignment="1" pivotButton="0" quotePrefix="0" xfId="3">
      <alignment horizontal="center" vertical="center"/>
    </xf>
    <xf numFmtId="0" fontId="29" fillId="3" borderId="5" applyAlignment="1" pivotButton="0" quotePrefix="0" xfId="3">
      <alignment horizontal="center" vertical="center"/>
    </xf>
    <xf numFmtId="0" fontId="37" fillId="3" borderId="6" applyAlignment="1" pivotButton="0" quotePrefix="0" xfId="3">
      <alignment horizontal="center" vertical="center" wrapText="1"/>
    </xf>
    <xf numFmtId="0" fontId="44" fillId="0" borderId="20" applyAlignment="1" pivotButton="0" quotePrefix="0" xfId="4">
      <alignment horizontal="left" vertical="center" wrapText="1"/>
    </xf>
    <xf numFmtId="0" fontId="44" fillId="0" borderId="21" applyAlignment="1" pivotButton="0" quotePrefix="0" xfId="4">
      <alignment horizontal="left" vertical="center" wrapText="1"/>
    </xf>
    <xf numFmtId="0" fontId="44" fillId="0" borderId="17" applyAlignment="1" pivotButton="0" quotePrefix="0" xfId="4">
      <alignment horizontal="left" vertical="center" wrapText="1"/>
    </xf>
    <xf numFmtId="0" fontId="44" fillId="0" borderId="17" applyAlignment="1" pivotButton="0" quotePrefix="0" xfId="4">
      <alignment horizontal="left" vertical="center"/>
    </xf>
    <xf numFmtId="0" fontId="52" fillId="0" borderId="0" applyAlignment="1" pivotButton="0" quotePrefix="0" xfId="8">
      <alignment horizontal="center"/>
    </xf>
    <xf numFmtId="0" fontId="53" fillId="0" borderId="0" applyAlignment="1" pivotButton="0" quotePrefix="0" xfId="8">
      <alignment horizontal="center"/>
    </xf>
    <xf numFmtId="0" fontId="10" fillId="3" borderId="18" applyAlignment="1" pivotButton="0" quotePrefix="0" xfId="3">
      <alignment horizontal="right" vertical="center"/>
    </xf>
    <xf numFmtId="0" fontId="10" fillId="3" borderId="19" applyAlignment="1" pivotButton="0" quotePrefix="0" xfId="3">
      <alignment horizontal="right" vertical="center"/>
    </xf>
    <xf numFmtId="0" fontId="10" fillId="3" borderId="2" applyAlignment="1" pivotButton="0" quotePrefix="0" xfId="3">
      <alignment horizontal="right" vertical="center"/>
    </xf>
    <xf numFmtId="0" fontId="10" fillId="3" borderId="5" applyAlignment="1" pivotButton="0" quotePrefix="0" xfId="3">
      <alignment horizontal="right" vertical="center"/>
    </xf>
    <xf numFmtId="0" fontId="11" fillId="3" borderId="2" applyAlignment="1" pivotButton="0" quotePrefix="0" xfId="3">
      <alignment horizontal="right" vertical="center"/>
    </xf>
    <xf numFmtId="0" fontId="11" fillId="3" borderId="5" applyAlignment="1" pivotButton="0" quotePrefix="0" xfId="3">
      <alignment horizontal="right" vertical="center"/>
    </xf>
    <xf numFmtId="0" fontId="24" fillId="0" borderId="0" applyAlignment="1" pivotButton="0" quotePrefix="0" xfId="2">
      <alignment horizontal="right" vertical="center"/>
    </xf>
    <xf numFmtId="168" fontId="54" fillId="4" borderId="0" applyAlignment="1" pivotButton="0" quotePrefix="0" xfId="2">
      <alignment horizontal="left" vertical="center"/>
    </xf>
    <xf numFmtId="0" fontId="14" fillId="4" borderId="0" applyAlignment="1" pivotButton="0" quotePrefix="0" xfId="3">
      <alignment horizontal="left" vertical="center"/>
    </xf>
    <xf numFmtId="165" fontId="28" fillId="0" borderId="1" applyAlignment="1" pivotButton="0" quotePrefix="0" xfId="3">
      <alignment horizontal="center" vertical="center"/>
    </xf>
    <xf numFmtId="165" fontId="28" fillId="0" borderId="10" applyAlignment="1" pivotButton="0" quotePrefix="0" xfId="3">
      <alignment horizontal="center" vertical="center"/>
    </xf>
    <xf numFmtId="165" fontId="28" fillId="0" borderId="0" applyAlignment="1" pivotButton="0" quotePrefix="0" xfId="3">
      <alignment horizontal="center" vertical="center"/>
    </xf>
    <xf numFmtId="165" fontId="28" fillId="0" borderId="12" applyAlignment="1" pivotButton="0" quotePrefix="0" xfId="3">
      <alignment horizontal="center" vertical="center"/>
    </xf>
    <xf numFmtId="165" fontId="28" fillId="0" borderId="8" applyAlignment="1" pivotButton="0" quotePrefix="0" xfId="3">
      <alignment horizontal="center" vertical="center"/>
    </xf>
    <xf numFmtId="165" fontId="28" fillId="0" borderId="14" applyAlignment="1" pivotButton="0" quotePrefix="0" xfId="3">
      <alignment horizontal="center" vertical="center"/>
    </xf>
    <xf numFmtId="0" fontId="22" fillId="0" borderId="0" applyAlignment="1" pivotButton="0" quotePrefix="0" xfId="2">
      <alignment horizontal="right" vertical="center"/>
    </xf>
    <xf numFmtId="0" fontId="27" fillId="0" borderId="9" applyAlignment="1" pivotButton="0" quotePrefix="0" xfId="3">
      <alignment horizontal="center" vertical="center"/>
    </xf>
    <xf numFmtId="0" fontId="27" fillId="0" borderId="1" applyAlignment="1" pivotButton="0" quotePrefix="0" xfId="3">
      <alignment horizontal="center" vertical="center"/>
    </xf>
    <xf numFmtId="0" fontId="27" fillId="0" borderId="11" applyAlignment="1" pivotButton="0" quotePrefix="0" xfId="3">
      <alignment horizontal="center" vertical="center"/>
    </xf>
    <xf numFmtId="0" fontId="27" fillId="0" borderId="0" applyAlignment="1" pivotButton="0" quotePrefix="0" xfId="3">
      <alignment horizontal="center" vertical="center"/>
    </xf>
    <xf numFmtId="0" fontId="27" fillId="0" borderId="13" applyAlignment="1" pivotButton="0" quotePrefix="0" xfId="3">
      <alignment horizontal="center" vertical="center"/>
    </xf>
    <xf numFmtId="0" fontId="27" fillId="0" borderId="8" applyAlignment="1" pivotButton="0" quotePrefix="0" xfId="3">
      <alignment horizontal="center" vertical="center"/>
    </xf>
    <xf numFmtId="0" fontId="14" fillId="4" borderId="0" applyAlignment="1" pivotButton="0" quotePrefix="0" xfId="2">
      <alignment horizontal="left" vertical="center"/>
    </xf>
    <xf numFmtId="0" fontId="65" fillId="4" borderId="8" applyAlignment="1" pivotButton="0" quotePrefix="0" xfId="3">
      <alignment horizontal="left" vertical="center" shrinkToFit="1"/>
    </xf>
    <xf numFmtId="0" fontId="14" fillId="4" borderId="8" applyAlignment="1" pivotButton="0" quotePrefix="0" xfId="3">
      <alignment horizontal="left" vertical="center" shrinkToFit="1"/>
    </xf>
    <xf numFmtId="0" fontId="0" fillId="0" borderId="0" pivotButton="0" quotePrefix="0" xfId="0"/>
    <xf numFmtId="167" fontId="14" fillId="4" borderId="0" applyAlignment="1" pivotButton="0" quotePrefix="0" xfId="3">
      <alignment horizontal="left" vertical="center"/>
    </xf>
    <xf numFmtId="167" fontId="19" fillId="0" borderId="0" applyAlignment="1" pivotButton="0" quotePrefix="0" xfId="10">
      <alignment horizontal="center" vertical="center"/>
    </xf>
    <xf numFmtId="167" fontId="62" fillId="0" borderId="0" applyAlignment="1" pivotButton="0" quotePrefix="0" xfId="10">
      <alignment horizontal="right"/>
    </xf>
    <xf numFmtId="164" fontId="23" fillId="4" borderId="0" applyAlignment="1" pivotButton="0" quotePrefix="0" xfId="2">
      <alignment vertical="center"/>
    </xf>
    <xf numFmtId="164" fontId="24" fillId="0" borderId="0" applyAlignment="1" pivotButton="0" quotePrefix="0" xfId="2">
      <alignment vertical="center"/>
    </xf>
    <xf numFmtId="0" fontId="0" fillId="0" borderId="8" pivotButton="0" quotePrefix="0" xfId="0"/>
    <xf numFmtId="0" fontId="27" fillId="0" borderId="25" applyAlignment="1" pivotButton="0" quotePrefix="0" xfId="3">
      <alignment horizontal="center" vertical="center"/>
    </xf>
    <xf numFmtId="0" fontId="0" fillId="0" borderId="1" pivotButton="0" quotePrefix="0" xfId="0"/>
    <xf numFmtId="165" fontId="28" fillId="0" borderId="24" applyAlignment="1" pivotButton="0" quotePrefix="0" xfId="3">
      <alignment horizontal="center" vertical="center"/>
    </xf>
    <xf numFmtId="0" fontId="0" fillId="0" borderId="10" pivotButton="0" quotePrefix="0" xfId="0"/>
    <xf numFmtId="165" fontId="28" fillId="0" borderId="0" applyAlignment="1" pivotButton="0" quotePrefix="0" xfId="3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37" fillId="3" borderId="30" applyAlignment="1" pivotButton="0" quotePrefix="0" xfId="3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68" fillId="3" borderId="34" applyAlignment="1" pivotButton="0" quotePrefix="0" xfId="3">
      <alignment horizontal="center" vertical="center"/>
    </xf>
    <xf numFmtId="0" fontId="0" fillId="0" borderId="33" pivotButton="0" quotePrefix="0" xfId="0"/>
    <xf numFmtId="0" fontId="69" fillId="3" borderId="34" applyAlignment="1" pivotButton="0" quotePrefix="0" xfId="3">
      <alignment horizontal="center" vertical="center"/>
    </xf>
    <xf numFmtId="0" fontId="0" fillId="0" borderId="21" pivotButton="0" quotePrefix="0" xfId="0"/>
    <xf numFmtId="0" fontId="10" fillId="3" borderId="28" applyAlignment="1" pivotButton="0" quotePrefix="0" xfId="3">
      <alignment horizontal="right" vertical="center"/>
    </xf>
    <xf numFmtId="0" fontId="0" fillId="0" borderId="19" pivotButton="0" quotePrefix="0" xfId="0"/>
    <xf numFmtId="0" fontId="10" fillId="3" borderId="7" applyAlignment="1" pivotButton="0" quotePrefix="0" xfId="3">
      <alignment horizontal="right" vertical="center"/>
    </xf>
    <xf numFmtId="0" fontId="11" fillId="3" borderId="7" applyAlignment="1" pivotButton="0" quotePrefix="0" xfId="3">
      <alignment horizontal="right" vertical="center"/>
    </xf>
    <xf numFmtId="0" fontId="68" fillId="3" borderId="35" applyAlignment="1" pivotButton="0" quotePrefix="0" xfId="3">
      <alignment horizontal="center" vertical="center"/>
    </xf>
    <xf numFmtId="0" fontId="0" fillId="0" borderId="38" pivotButton="0" quotePrefix="0" xfId="0"/>
    <xf numFmtId="0" fontId="68" fillId="0" borderId="0" applyAlignment="1" pivotButton="0" quotePrefix="0" xfId="0">
      <alignment horizontal="center" vertical="center"/>
    </xf>
    <xf numFmtId="0" fontId="69" fillId="3" borderId="35" applyAlignment="1" pivotButton="0" quotePrefix="0" xfId="3">
      <alignment horizontal="center" vertical="center"/>
    </xf>
    <xf numFmtId="0" fontId="68" fillId="5" borderId="0" applyAlignment="1" pivotButton="0" quotePrefix="0" xfId="0">
      <alignment horizontal="center" vertical="center"/>
    </xf>
    <xf numFmtId="0" fontId="0" fillId="5" borderId="0" pivotButton="0" quotePrefix="0" xfId="0"/>
    <xf numFmtId="38" fontId="26" fillId="5" borderId="7" applyAlignment="1" pivotButton="0" quotePrefix="0" xfId="2">
      <alignment horizontal="right" vertical="center"/>
    </xf>
    <xf numFmtId="38" fontId="26" fillId="5" borderId="17" applyAlignment="1" pivotButton="0" quotePrefix="0" xfId="2">
      <alignment horizontal="right" vertical="center"/>
    </xf>
    <xf numFmtId="38" fontId="26" fillId="6" borderId="39" applyAlignment="1" pivotButton="0" quotePrefix="0" xfId="2">
      <alignment horizontal="right" vertical="center"/>
    </xf>
    <xf numFmtId="38" fontId="70" fillId="0" borderId="17" applyAlignment="1" pivotButton="0" quotePrefix="0" xfId="13">
      <alignment vertical="center"/>
    </xf>
    <xf numFmtId="3" fontId="71" fillId="0" borderId="7" applyAlignment="1" pivotButton="0" quotePrefix="0" xfId="2">
      <alignment horizontal="center" vertical="center"/>
    </xf>
    <xf numFmtId="3" fontId="71" fillId="0" borderId="17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8">
    <cellStyle name="Normal" xfId="0" builtinId="0"/>
    <cellStyle name="標準 2" xfId="1"/>
    <cellStyle name="標準 5" xfId="2"/>
    <cellStyle name="常规 2 2 2" xfId="3"/>
    <cellStyle name="常规 8" xfId="4"/>
    <cellStyle name="Normal 2" xfId="5"/>
    <cellStyle name="標準 3" xfId="6"/>
    <cellStyle name="標準 7" xfId="7"/>
    <cellStyle name="標準 2 2" xfId="8"/>
    <cellStyle name="常规_清关13" xfId="9"/>
    <cellStyle name="표준_서류_0906-CONSOL-QD-B" xfId="10"/>
    <cellStyle name="ハイパーリンク 2" xfId="11"/>
    <cellStyle name="標準 8" xfId="12"/>
    <cellStyle name="桁区切り 2" xfId="13"/>
    <cellStyle name="標準 4 2" xfId="14"/>
    <cellStyle name="標準 9" xfId="15"/>
    <cellStyle name="Hyperlink" xfId="16" builtinId="8"/>
    <cellStyle name="Comma [0]" xfId="17" builtinId="6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tel:045-472-9171" TargetMode="External" Id="rId1" /><Relationship Type="http://schemas.openxmlformats.org/officeDocument/2006/relationships/hyperlink" Target="tel:098-917-2295" TargetMode="External" Id="rId2" /></Relationships>
</file>

<file path=xl/worksheets/sheet1.xml><?xml version="1.0" encoding="utf-8"?>
<worksheet xmlns="http://schemas.openxmlformats.org/spreadsheetml/2006/main">
  <sheetPr>
    <tabColor rgb="FFEC14A4"/>
    <outlinePr summaryBelow="1" summaryRight="1"/>
    <pageSetUpPr/>
  </sheetPr>
  <dimension ref="A1:Q46"/>
  <sheetViews>
    <sheetView tabSelected="1" view="pageBreakPreview" zoomScale="80" zoomScaleNormal="110" zoomScaleSheetLayoutView="80" workbookViewId="0">
      <selection activeCell="E28" sqref="E28"/>
    </sheetView>
  </sheetViews>
  <sheetFormatPr baseColWidth="10" defaultColWidth="10.5" defaultRowHeight="19"/>
  <cols>
    <col width="4.33203125" customWidth="1" style="4" min="1" max="1"/>
    <col width="12.5" customWidth="1" style="4" min="2" max="2"/>
    <col width="12.83203125" customWidth="1" style="4" min="3" max="3"/>
    <col width="28.1640625" customWidth="1" style="4" min="4" max="4"/>
    <col width="22.1640625" customWidth="1" style="4" min="5" max="5"/>
    <col width="8.5" customWidth="1" style="4" min="6" max="6"/>
    <col width="9.83203125" customWidth="1" style="4" min="7" max="7"/>
    <col width="15" customWidth="1" style="56" min="8" max="8"/>
    <col width="9.328125" customWidth="1" style="56" min="9" max="9"/>
    <col width="11.83203125" customWidth="1" style="4" min="10" max="10"/>
    <col width="9" customWidth="1" style="4" min="11" max="11"/>
    <col width="16.1640625" customWidth="1" style="4" min="12" max="12"/>
    <col width="10.5" customWidth="1" style="4" min="13" max="13"/>
    <col width="3.1640625" customWidth="1" style="4" min="14" max="14"/>
    <col width="5.33203125" customWidth="1" style="4" min="15" max="15"/>
    <col width="4.5" customWidth="1" style="31" min="16" max="16"/>
    <col width="10.5" customWidth="1" style="4" min="17" max="16384"/>
  </cols>
  <sheetData>
    <row r="1" ht="52.5" customHeight="1" s="141">
      <c r="A1" s="95" t="inlineStr">
        <is>
          <t>PURCHASE ORDER</t>
        </is>
      </c>
      <c r="M1" s="60" t="n"/>
      <c r="N1" s="60" t="n"/>
    </row>
    <row r="2" ht="37.5" customHeight="1" s="141">
      <c r="A2" s="100" t="inlineStr">
        <is>
          <t>CELEBRITY MILLENNIUM［OSAKA］</t>
        </is>
      </c>
    </row>
    <row r="3" ht="20" customHeight="1" s="141">
      <c r="A3" s="58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</row>
    <row r="4">
      <c r="A4" s="5" t="inlineStr">
        <is>
          <t>タカナシ販売株式会社　横浜営業所</t>
        </is>
      </c>
      <c r="B4" s="5" t="n"/>
      <c r="C4" s="98" t="n"/>
      <c r="D4" s="98" t="n"/>
      <c r="E4" s="98" t="n"/>
      <c r="F4" s="98" t="n"/>
      <c r="G4" s="98" t="n"/>
      <c r="H4" s="98" t="n"/>
      <c r="I4" s="98" t="n"/>
      <c r="J4" s="7" t="inlineStr">
        <is>
          <t>DATE：</t>
        </is>
      </c>
      <c r="K4" s="142" t="n">
        <v>45849</v>
      </c>
    </row>
    <row r="5" ht="20" customHeight="1" s="141">
      <c r="A5" s="8" t="inlineStr">
        <is>
          <t>〒224-0042</t>
        </is>
      </c>
      <c r="B5" s="8" t="n"/>
      <c r="C5" s="9" t="n"/>
      <c r="D5" s="10" t="n"/>
      <c r="E5" s="10" t="n"/>
      <c r="F5" s="10" t="n"/>
      <c r="G5" s="10" t="n"/>
      <c r="H5" s="97" t="n"/>
      <c r="J5" s="7" t="inlineStr">
        <is>
          <t>Invoice：</t>
        </is>
      </c>
      <c r="K5" s="84" t="inlineStr">
        <is>
          <t>20250716-02 ML</t>
        </is>
      </c>
      <c r="L5" s="124" t="n"/>
    </row>
    <row r="6" ht="21" customHeight="1" s="141">
      <c r="A6" s="12" t="inlineStr">
        <is>
          <t>横浜市都筑区大熊町１０５－２</t>
        </is>
      </c>
      <c r="B6" s="12" t="n"/>
      <c r="C6" s="13" t="n"/>
      <c r="D6" s="14" t="n"/>
      <c r="E6" s="14" t="n"/>
      <c r="F6" s="14" t="n"/>
      <c r="G6" s="14" t="n"/>
      <c r="H6" s="15" t="n"/>
      <c r="I6" s="98" t="n"/>
      <c r="J6" s="131" t="inlineStr">
        <is>
          <t>Voyage：</t>
        </is>
      </c>
      <c r="K6" s="102" t="inlineStr">
        <is>
          <t>ML-1017</t>
        </is>
      </c>
    </row>
    <row r="7">
      <c r="A7" s="62" t="inlineStr">
        <is>
          <t>TEL:045-472-9171</t>
        </is>
      </c>
      <c r="B7" s="16" t="n"/>
      <c r="C7" s="13" t="n"/>
      <c r="D7" s="14" t="n"/>
      <c r="E7" s="14" t="n"/>
      <c r="F7" s="14" t="n"/>
      <c r="G7" s="14" t="n"/>
      <c r="H7" s="143" t="n"/>
      <c r="J7" s="144" t="n"/>
    </row>
    <row r="8">
      <c r="A8" s="28" t="inlineStr">
        <is>
          <t>FAX: 0445-472-6365</t>
        </is>
      </c>
      <c r="B8" s="28" t="n"/>
      <c r="C8" s="13" t="n"/>
      <c r="D8" s="14" t="n"/>
      <c r="E8" s="14" t="n"/>
      <c r="F8" s="131" t="inlineStr">
        <is>
          <t>Delivery Date:</t>
        </is>
      </c>
      <c r="H8" s="123" t="n">
        <v>45853</v>
      </c>
      <c r="K8" s="145" t="inlineStr">
        <is>
          <t>[午前中]厳守</t>
        </is>
      </c>
      <c r="L8" s="146" t="n"/>
      <c r="M8" s="146" t="n"/>
    </row>
    <row r="9" ht="15" customHeight="1" s="141">
      <c r="A9" s="98" t="n"/>
      <c r="B9" s="98" t="n"/>
      <c r="C9" s="98" t="n"/>
      <c r="D9" s="98" t="n"/>
      <c r="E9" s="98" t="n"/>
      <c r="F9" s="122" t="inlineStr">
        <is>
          <t>Delivery Address:</t>
        </is>
      </c>
      <c r="H9" s="124" t="inlineStr">
        <is>
          <t>神奈川県横浜市中区海岸通り1-1-4</t>
        </is>
      </c>
      <c r="M9" s="22" t="n"/>
    </row>
    <row r="10">
      <c r="A10" s="23" t="n"/>
      <c r="B10" s="23" t="n"/>
      <c r="C10" s="98" t="n"/>
      <c r="D10" s="98" t="n"/>
      <c r="E10" s="98" t="n"/>
      <c r="F10" s="20" t="n"/>
      <c r="G10" s="20" t="n"/>
      <c r="H10" s="87" t="inlineStr">
        <is>
          <t>株式会社松武</t>
        </is>
      </c>
      <c r="I10" s="88" t="n"/>
      <c r="J10" s="89" t="n"/>
      <c r="K10" s="89" t="n"/>
      <c r="L10" s="89" t="n"/>
      <c r="M10" s="24" t="n"/>
    </row>
    <row r="11">
      <c r="A11" s="23" t="n"/>
      <c r="B11" s="23" t="n"/>
      <c r="C11" s="98" t="n"/>
      <c r="D11" s="98" t="n"/>
      <c r="E11" s="98" t="n"/>
      <c r="F11" s="20" t="n"/>
      <c r="G11" s="20" t="n"/>
      <c r="H11" s="54" t="inlineStr">
        <is>
          <t>担当：Ms.トウ　080-6259-5888</t>
        </is>
      </c>
      <c r="I11" s="88" t="n"/>
      <c r="J11" s="89" t="n"/>
      <c r="K11" s="89" t="n"/>
      <c r="L11" s="89" t="n"/>
      <c r="M11" s="24" t="n"/>
    </row>
    <row r="12">
      <c r="A12" s="23" t="n"/>
      <c r="B12" s="23" t="n"/>
      <c r="C12" s="98" t="n"/>
      <c r="D12" s="98" t="n"/>
      <c r="E12" s="98" t="n"/>
      <c r="F12" s="18" t="n"/>
      <c r="G12" s="21" t="n"/>
      <c r="H12" s="54" t="n"/>
      <c r="I12" s="88" t="inlineStr">
        <is>
          <t>船名【CELEBRITY MILLENNIUM】</t>
        </is>
      </c>
      <c r="J12" s="90" t="n"/>
      <c r="K12" s="91" t="n"/>
      <c r="L12" s="90" t="n"/>
      <c r="M12" s="25" t="n"/>
    </row>
    <row r="13">
      <c r="A13" s="26" t="inlineStr">
        <is>
          <t>株式会社メリットトレーディング</t>
        </is>
      </c>
      <c r="B13" s="26" t="n"/>
      <c r="C13" s="98" t="n"/>
      <c r="D13" s="98" t="n"/>
      <c r="E13" s="98" t="n"/>
      <c r="F13" s="11" t="inlineStr">
        <is>
          <t>Payment Date:</t>
        </is>
      </c>
      <c r="G13" s="22" t="n"/>
      <c r="H13" s="138" t="inlineStr">
        <is>
          <t>前振り込み</t>
        </is>
      </c>
      <c r="K13" s="24" t="n"/>
      <c r="L13" s="24" t="n"/>
      <c r="M13" s="24" t="n"/>
    </row>
    <row r="14">
      <c r="A14" s="98" t="inlineStr">
        <is>
          <t>〒900-0003</t>
        </is>
      </c>
      <c r="B14" s="98" t="n"/>
      <c r="C14" s="98" t="n"/>
      <c r="D14" s="98" t="n"/>
      <c r="E14" s="98" t="n"/>
      <c r="F14" s="11" t="inlineStr">
        <is>
          <t>Payment Method:</t>
        </is>
      </c>
      <c r="G14" s="22" t="n"/>
      <c r="H14" s="92" t="inlineStr">
        <is>
          <t>口座振り込み</t>
        </is>
      </c>
      <c r="I14" s="92" t="n"/>
      <c r="J14" s="92" t="n"/>
      <c r="K14" s="22" t="n"/>
      <c r="L14" s="21" t="n"/>
      <c r="M14" s="22" t="n"/>
    </row>
    <row r="15" ht="19.5" customHeight="1" s="141" thickBot="1">
      <c r="A15" s="98" t="inlineStr">
        <is>
          <t>沖縄県那覇市安謝1-2-21 アーバンウエスト秋桜201</t>
        </is>
      </c>
      <c r="B15" s="98" t="n"/>
      <c r="C15" s="98" t="n"/>
      <c r="D15" s="98" t="n"/>
      <c r="E15" s="98" t="n"/>
      <c r="F15" s="22" t="inlineStr">
        <is>
          <t>担当者及び連絡先：</t>
        </is>
      </c>
      <c r="G15" s="22" t="n"/>
      <c r="H15" s="139" t="inlineStr">
        <is>
          <t>邢　080-4311-1145</t>
        </is>
      </c>
      <c r="I15" s="147" t="n"/>
      <c r="J15" s="147" t="n"/>
      <c r="K15" s="27" t="n"/>
      <c r="L15" s="27" t="n"/>
      <c r="M15" s="22" t="n"/>
    </row>
    <row r="16" ht="15" customHeight="1" s="141">
      <c r="A16" s="28" t="inlineStr">
        <is>
          <t>TEL:098-917-2295</t>
        </is>
      </c>
      <c r="B16" s="28" t="n"/>
      <c r="C16" s="98" t="n"/>
      <c r="D16" s="98" t="n"/>
      <c r="E16" s="98" t="n"/>
      <c r="F16" s="148" t="inlineStr">
        <is>
          <t>TOTAL:</t>
        </is>
      </c>
      <c r="G16" s="149" t="n"/>
      <c r="H16" s="150">
        <f>L35</f>
        <v/>
      </c>
      <c r="I16" s="149" t="n"/>
      <c r="J16" s="151" t="n"/>
      <c r="K16" s="152" t="n"/>
      <c r="L16" s="98" t="n"/>
    </row>
    <row r="17" ht="15" customHeight="1" s="141">
      <c r="A17" s="28" t="inlineStr">
        <is>
          <t>FAX:098-917-2296</t>
        </is>
      </c>
      <c r="B17" s="28" t="n"/>
      <c r="C17" s="98" t="n"/>
      <c r="D17" s="98" t="n"/>
      <c r="E17" s="98" t="n"/>
      <c r="F17" s="153" t="n"/>
      <c r="J17" s="154" t="n"/>
      <c r="K17" s="152" t="n"/>
      <c r="L17" s="98" t="n"/>
    </row>
    <row r="18" ht="15" customHeight="1" s="141" thickBot="1">
      <c r="A18" s="28" t="inlineStr">
        <is>
          <t>E-mail:cruise.merit@gmail.com</t>
        </is>
      </c>
      <c r="B18" s="28" t="n"/>
      <c r="C18" s="98" t="n"/>
      <c r="D18" s="98" t="n"/>
      <c r="E18" s="98" t="n"/>
      <c r="F18" s="155" t="n"/>
      <c r="G18" s="147" t="n"/>
      <c r="H18" s="147" t="n"/>
      <c r="I18" s="147" t="n"/>
      <c r="J18" s="156" t="n"/>
      <c r="K18" s="152" t="n"/>
      <c r="L18" s="98" t="n"/>
    </row>
    <row r="19" ht="27" customHeight="1" s="141">
      <c r="A19" s="98" t="n"/>
      <c r="B19" s="98" t="n"/>
      <c r="C19" s="98" t="n"/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</row>
    <row r="20" ht="18.75" customHeight="1" s="141">
      <c r="A20" s="157" t="inlineStr">
        <is>
          <t>NO.</t>
        </is>
      </c>
      <c r="B20" s="157" t="inlineStr">
        <is>
          <t>PO No.</t>
        </is>
      </c>
      <c r="C20" s="33" t="inlineStr">
        <is>
          <t>Product（商品名）</t>
        </is>
      </c>
      <c r="D20" s="158" t="n"/>
      <c r="E20" s="159" t="n"/>
      <c r="F20" s="33" t="inlineStr">
        <is>
          <t>Description</t>
        </is>
      </c>
      <c r="G20" s="159" t="n"/>
      <c r="H20" s="33" t="inlineStr">
        <is>
          <t>Quantity</t>
        </is>
      </c>
      <c r="I20" s="159" t="n"/>
      <c r="J20" s="168" t="inlineStr">
        <is>
          <t>Unit price</t>
        </is>
      </c>
      <c r="K20" s="169" t="n"/>
      <c r="L20" s="172" t="inlineStr">
        <is>
          <t>Amount(JPY)</t>
        </is>
      </c>
    </row>
    <row r="21" ht="18.75" customHeight="1" s="141">
      <c r="A21" s="161" t="n"/>
      <c r="B21" s="161" t="n"/>
      <c r="C21" s="32" t="inlineStr">
        <is>
          <t>商品コード</t>
        </is>
      </c>
      <c r="D21" s="33" t="inlineStr">
        <is>
          <t>英語表記</t>
        </is>
      </c>
      <c r="E21" s="33" t="inlineStr">
        <is>
          <t>日本語表記</t>
        </is>
      </c>
      <c r="F21" s="33" t="inlineStr">
        <is>
          <t>（詳細）</t>
        </is>
      </c>
      <c r="G21" s="159" t="n"/>
      <c r="H21" s="33" t="inlineStr">
        <is>
          <t>(数量)</t>
        </is>
      </c>
      <c r="I21" s="159" t="n"/>
      <c r="J21" s="162" t="inlineStr">
        <is>
          <t>通貨</t>
        </is>
      </c>
      <c r="K21" s="171" t="inlineStr">
        <is>
          <t>単価</t>
        </is>
      </c>
      <c r="M21" s="34" t="n"/>
    </row>
    <row r="22" ht="46.5" customHeight="1" s="141">
      <c r="A22" s="1" t="n">
        <v>1</v>
      </c>
      <c r="B22" s="81" t="n">
        <v>68222927</v>
      </c>
      <c r="C22" s="80" t="inlineStr">
        <is>
          <t>99PRD010783</t>
        </is>
      </c>
      <c r="D22" s="93" t="inlineStr">
        <is>
          <t>CHEESEAMERICAN SLICED</t>
        </is>
      </c>
      <c r="E22" s="67" t="inlineStr">
        <is>
          <t>雪印チェダースライスチーズ75</t>
        </is>
      </c>
      <c r="F22" s="112" t="inlineStr">
        <is>
          <t>378*24EA/CT</t>
        </is>
      </c>
      <c r="G22" s="163" t="n"/>
      <c r="H22" s="177" t="n">
        <v>16</v>
      </c>
      <c r="I22" s="63" t="inlineStr">
        <is>
          <t>CT</t>
        </is>
      </c>
      <c r="J22" s="57" t="inlineStr">
        <is>
          <t>JPY</t>
        </is>
      </c>
      <c r="K22" s="178" t="n">
        <v>14112</v>
      </c>
      <c r="L22" s="176">
        <f>H22*K22</f>
        <v/>
      </c>
    </row>
    <row r="23" ht="46.5" customHeight="1" s="141">
      <c r="A23" s="1" t="n">
        <v>2</v>
      </c>
      <c r="B23" s="81" t="n"/>
      <c r="C23" s="80" t="n"/>
      <c r="D23" s="94" t="n"/>
      <c r="E23" s="65" t="n"/>
      <c r="F23" s="110" t="n"/>
      <c r="G23" s="111" t="n"/>
      <c r="H23" s="177" t="n"/>
      <c r="I23" s="63" t="n"/>
      <c r="J23" s="57" t="n"/>
      <c r="K23" s="179" t="n"/>
      <c r="L23" s="176" t="n"/>
    </row>
    <row r="24" ht="46.5" customHeight="1" s="141">
      <c r="A24" s="1" t="n">
        <v>3</v>
      </c>
      <c r="B24" s="81" t="n"/>
      <c r="C24" s="80" t="n"/>
      <c r="D24" s="94" t="n"/>
      <c r="E24" s="65" t="n"/>
      <c r="F24" s="110" t="n"/>
      <c r="G24" s="111" t="n"/>
      <c r="H24" s="177" t="n"/>
      <c r="I24" s="63" t="n"/>
      <c r="J24" s="57" t="n"/>
      <c r="K24" s="179" t="n"/>
      <c r="L24" s="176" t="n"/>
    </row>
    <row r="25" ht="46.5" customHeight="1" s="141">
      <c r="A25" s="1" t="n">
        <v>4</v>
      </c>
      <c r="B25" s="81" t="n"/>
      <c r="C25" s="80" t="n"/>
      <c r="D25" s="94" t="n"/>
      <c r="E25" s="65" t="n"/>
      <c r="F25" s="110" t="n"/>
      <c r="G25" s="111" t="n"/>
      <c r="H25" s="177" t="n"/>
      <c r="I25" s="63" t="n"/>
      <c r="J25" s="57" t="n"/>
      <c r="K25" s="179" t="n"/>
      <c r="L25" s="176" t="n"/>
    </row>
    <row r="26" ht="46.5" customHeight="1" s="141">
      <c r="A26" s="1" t="n">
        <v>5</v>
      </c>
      <c r="B26" s="81" t="n"/>
      <c r="C26" s="80" t="n"/>
      <c r="D26" s="94" t="n"/>
      <c r="E26" s="65" t="n"/>
      <c r="F26" s="110" t="n"/>
      <c r="G26" s="111" t="n"/>
      <c r="H26" s="177" t="n"/>
      <c r="I26" s="63" t="n"/>
      <c r="J26" s="57" t="n"/>
      <c r="K26" s="179" t="n"/>
      <c r="L26" s="176" t="n"/>
    </row>
    <row r="27" ht="46.5" customHeight="1" s="141">
      <c r="A27" s="1" t="n">
        <v>6</v>
      </c>
      <c r="B27" s="81" t="n"/>
      <c r="C27" s="80" t="n"/>
      <c r="D27" s="94" t="n"/>
      <c r="E27" s="65" t="n"/>
      <c r="F27" s="110" t="n"/>
      <c r="G27" s="111" t="n"/>
      <c r="H27" s="177" t="n"/>
      <c r="I27" s="63" t="n"/>
      <c r="J27" s="57" t="n"/>
      <c r="K27" s="179" t="n"/>
      <c r="L27" s="176" t="n"/>
    </row>
    <row r="28" ht="46.5" customHeight="1" s="141">
      <c r="A28" s="1" t="n">
        <v>7</v>
      </c>
      <c r="B28" s="81" t="n"/>
      <c r="C28" s="80" t="n"/>
      <c r="D28" s="94" t="n"/>
      <c r="E28" s="65" t="n"/>
      <c r="F28" s="110" t="n"/>
      <c r="G28" s="111" t="n"/>
      <c r="H28" s="177" t="n"/>
      <c r="I28" s="63" t="n"/>
      <c r="J28" s="57" t="n"/>
      <c r="K28" s="179" t="n"/>
      <c r="L28" s="176" t="n"/>
    </row>
    <row r="29" ht="46.5" customHeight="1" s="141">
      <c r="A29" s="1" t="n">
        <v>8</v>
      </c>
      <c r="B29" s="81" t="n"/>
      <c r="C29" s="80" t="n"/>
      <c r="D29" s="94" t="n"/>
      <c r="E29" s="65" t="n"/>
      <c r="F29" s="110" t="n"/>
      <c r="G29" s="111" t="n"/>
      <c r="H29" s="177" t="n"/>
      <c r="I29" s="63" t="n"/>
      <c r="J29" s="57" t="n"/>
      <c r="K29" s="179" t="n"/>
      <c r="L29" s="176" t="n"/>
    </row>
    <row r="30" ht="46.5" customHeight="1" s="141">
      <c r="A30" s="1" t="n">
        <v>9</v>
      </c>
      <c r="B30" s="74" t="n"/>
      <c r="C30" s="75" t="n"/>
      <c r="D30" s="76" t="n"/>
      <c r="E30" s="71" t="n"/>
      <c r="F30" s="112" t="n"/>
      <c r="G30" s="163" t="n"/>
      <c r="H30" s="177" t="n"/>
      <c r="I30" s="63" t="n"/>
      <c r="J30" s="57" t="n"/>
      <c r="K30" s="179" t="n"/>
      <c r="L30" s="176" t="n"/>
    </row>
    <row r="31" ht="46.5" customHeight="1" s="141">
      <c r="A31" s="1" t="n">
        <v>10</v>
      </c>
      <c r="B31" s="77" t="n"/>
      <c r="C31" s="78" t="n"/>
      <c r="D31" s="79" t="n"/>
      <c r="E31" s="65" t="n"/>
      <c r="F31" s="112" t="n"/>
      <c r="G31" s="163" t="n"/>
      <c r="H31" s="177" t="n"/>
      <c r="I31" s="63" t="n"/>
      <c r="J31" s="57" t="n"/>
      <c r="K31" s="178" t="n"/>
      <c r="L31" s="176" t="n"/>
      <c r="M31" s="37" t="n"/>
    </row>
    <row r="32" ht="46.5" customHeight="1" s="141">
      <c r="A32" s="1" t="n">
        <v>11</v>
      </c>
      <c r="B32" s="77" t="n"/>
      <c r="C32" s="75" t="n"/>
      <c r="D32" s="76" t="n"/>
      <c r="E32" s="71" t="n"/>
      <c r="F32" s="112" t="n"/>
      <c r="G32" s="163" t="n"/>
      <c r="H32" s="177" t="n"/>
      <c r="I32" s="63" t="n"/>
      <c r="J32" s="57" t="n"/>
      <c r="K32" s="179" t="n"/>
      <c r="L32" s="73" t="n"/>
      <c r="M32" s="66" t="n"/>
    </row>
    <row r="33" ht="23.25" customHeight="1" s="141">
      <c r="A33" s="38" t="n"/>
      <c r="B33" s="38" t="n"/>
      <c r="C33" s="39" t="n"/>
      <c r="D33" s="40" t="inlineStr">
        <is>
          <t> </t>
        </is>
      </c>
      <c r="E33" s="2" t="n"/>
      <c r="F33" s="2" t="n"/>
      <c r="G33" s="2" t="n"/>
      <c r="H33" s="38" t="n"/>
      <c r="I33" s="164" t="inlineStr">
        <is>
          <t>Sub Total</t>
        </is>
      </c>
      <c r="J33" s="180" t="inlineStr">
        <is>
          <t>JPY</t>
        </is>
      </c>
      <c r="K33" s="53" t="n"/>
      <c r="L33" s="41">
        <f>SUM(L22:L32)</f>
        <v/>
      </c>
    </row>
    <row r="34" ht="23.25" customHeight="1" s="141">
      <c r="A34" s="38" t="n"/>
      <c r="B34" s="68" t="n"/>
      <c r="C34" s="68" t="n"/>
      <c r="D34" s="68" t="n"/>
      <c r="E34" s="68" t="n"/>
      <c r="F34" s="68" t="n"/>
      <c r="G34" s="68" t="n"/>
      <c r="H34" s="38" t="n"/>
      <c r="I34" s="166" t="inlineStr">
        <is>
          <t>Tax</t>
        </is>
      </c>
      <c r="J34" s="180" t="inlineStr">
        <is>
          <t>JPY</t>
        </is>
      </c>
      <c r="K34" s="35" t="n"/>
      <c r="L34" s="42">
        <f>L33*0.08</f>
        <v/>
      </c>
    </row>
    <row r="35" ht="23.25" customHeight="1" s="141">
      <c r="A35" s="3" t="n"/>
      <c r="B35" s="68" t="n"/>
      <c r="C35" s="68" t="n"/>
      <c r="D35" s="68" t="n"/>
      <c r="E35" s="68" t="n"/>
      <c r="F35" s="68" t="n"/>
      <c r="G35" s="68" t="n"/>
      <c r="H35" s="3" t="n"/>
      <c r="I35" s="167" t="inlineStr">
        <is>
          <t>GRAND TOTAL</t>
        </is>
      </c>
      <c r="J35" s="180" t="inlineStr">
        <is>
          <t>JPY</t>
        </is>
      </c>
      <c r="K35" s="35" t="n"/>
      <c r="L35" s="42">
        <f>+L33+L34</f>
        <v/>
      </c>
    </row>
    <row r="36" ht="49.5" customHeight="1" s="141">
      <c r="A36" s="3" t="n"/>
      <c r="B36" s="68" t="n"/>
      <c r="C36" s="68" t="n"/>
      <c r="D36" s="68" t="n"/>
      <c r="E36" s="68" t="n"/>
      <c r="F36" s="68" t="n"/>
      <c r="G36" s="68" t="n"/>
      <c r="H36" s="3" t="n"/>
      <c r="I36" s="45" t="n"/>
      <c r="J36" s="45" t="n"/>
      <c r="K36" s="69" t="n"/>
      <c r="L36" s="70" t="n"/>
    </row>
    <row r="37" ht="34" customHeight="1" s="141">
      <c r="A37" s="114" t="inlineStr">
        <is>
          <t>THANK YOU FOR YOUR BUSINESS!</t>
        </is>
      </c>
    </row>
    <row r="38" ht="25.5" customHeight="1" s="141">
      <c r="A38" s="3" t="n"/>
      <c r="B38" s="3" t="n"/>
      <c r="C38" s="43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</row>
    <row r="39" ht="25.5" customHeight="1" s="141">
      <c r="A39" s="3" t="n"/>
      <c r="B39" s="3" t="n"/>
      <c r="C39" s="43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</row>
    <row r="40" ht="24" customHeight="1" s="141">
      <c r="A40" s="3" t="n"/>
      <c r="B40" s="3" t="n"/>
      <c r="C40" s="43" t="n"/>
      <c r="D40" s="98" t="n"/>
      <c r="E40" s="44" t="n"/>
      <c r="F40" s="44" t="n"/>
      <c r="G40" s="3" t="n"/>
      <c r="H40" s="45" t="n"/>
      <c r="I40" s="45" t="n"/>
      <c r="J40" s="45" t="n"/>
      <c r="K40" s="46" t="n"/>
      <c r="L40" s="47" t="n"/>
    </row>
    <row r="41" ht="24" customHeight="1" s="141">
      <c r="A41" s="3" t="n"/>
      <c r="B41" s="3" t="n"/>
      <c r="C41" s="43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Q41" s="48" t="n"/>
    </row>
    <row r="42" ht="25.5" customHeight="1" s="141">
      <c r="A42" s="3" t="n"/>
      <c r="B42" s="3" t="n"/>
      <c r="C42" s="43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98" t="n"/>
    </row>
    <row r="43" ht="24" customHeight="1" s="141">
      <c r="A43" s="49" t="n"/>
      <c r="B43" s="49" t="n"/>
      <c r="C43" s="49" t="n"/>
      <c r="D43" s="49" t="n"/>
      <c r="E43" s="49" t="n"/>
      <c r="F43" s="49" t="n"/>
      <c r="G43" s="49" t="n"/>
      <c r="H43" s="55" t="n"/>
      <c r="I43" s="55" t="n"/>
      <c r="J43" s="49" t="n"/>
      <c r="K43" s="49" t="n"/>
      <c r="L43" s="49" t="n"/>
    </row>
    <row r="44" ht="24" customHeight="1" s="141"/>
    <row r="45" ht="26" customHeight="1" s="141">
      <c r="C45" s="50" t="n"/>
      <c r="D45" s="50" t="n"/>
    </row>
    <row r="46" ht="24" customHeight="1" s="141">
      <c r="C46" s="50" t="n"/>
      <c r="D46" s="50" t="n"/>
      <c r="J46" s="51" t="n"/>
      <c r="K46" s="51" t="n"/>
      <c r="L46" s="52" t="n"/>
    </row>
  </sheetData>
  <mergeCells count="29">
    <mergeCell ref="H20:I20"/>
    <mergeCell ref="A37:L37"/>
    <mergeCell ref="K4:L4"/>
    <mergeCell ref="F16:G18"/>
    <mergeCell ref="F21:G21"/>
    <mergeCell ref="H9:L9"/>
    <mergeCell ref="A2:L2"/>
    <mergeCell ref="H21:I21"/>
    <mergeCell ref="F30:G30"/>
    <mergeCell ref="J7:L7"/>
    <mergeCell ref="H13:J13"/>
    <mergeCell ref="F20:G20"/>
    <mergeCell ref="L20:L21"/>
    <mergeCell ref="F32:G32"/>
    <mergeCell ref="H16:J18"/>
    <mergeCell ref="F8:G8"/>
    <mergeCell ref="H15:J15"/>
    <mergeCell ref="J20:K20"/>
    <mergeCell ref="H7:I7"/>
    <mergeCell ref="H8:J8"/>
    <mergeCell ref="F31:G31"/>
    <mergeCell ref="A20:A21"/>
    <mergeCell ref="F22:G22"/>
    <mergeCell ref="B20:B21"/>
    <mergeCell ref="F9:G9"/>
    <mergeCell ref="A1:L1"/>
    <mergeCell ref="H5:I5"/>
    <mergeCell ref="K6:L6"/>
    <mergeCell ref="C20:E20"/>
  </mergeCells>
  <hyperlinks>
    <hyperlink xmlns:r="http://schemas.openxmlformats.org/officeDocument/2006/relationships" ref="A7" r:id="rId1"/>
    <hyperlink xmlns:r="http://schemas.openxmlformats.org/officeDocument/2006/relationships" ref="A16" r:id="rId2"/>
  </hyperlinks>
  <printOptions horizontalCentered="1"/>
  <pageMargins left="0.03937007874015748" right="0.03937007874015748" top="0.3543307086614174" bottom="0.3543307086614174" header="0.1181102362204725" footer="0.1181102362204725"/>
  <pageSetup orientation="portrait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内田理奈子</dc:creator>
  <dcterms:created xsi:type="dcterms:W3CDTF">2024-11-19T09:47:42Z</dcterms:created>
  <dcterms:modified xsi:type="dcterms:W3CDTF">2025-10-14T00:37:58Z</dcterms:modified>
  <cp:lastModifiedBy>張　翼川</cp:lastModifiedBy>
  <cp:lastPrinted>2024-12-20T07:02:18Z</cp:lastPrinted>
</cp:coreProperties>
</file>