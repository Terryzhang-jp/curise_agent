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0804発注書 (ML)" sheetId="1" state="visible" r:id="rId1"/>
  </sheets>
  <definedNames>
    <definedName name="_xlnm.Print_Area" localSheetId="0">'0804発注書 (ML)'!$A$1:$L$37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9">
    <font>
      <name val="Calibri"/>
      <family val="2"/>
      <color theme="1"/>
      <sz val="11"/>
      <scheme val="minor"/>
    </font>
    <font>
      <name val="SimSun"/>
      <family val="2"/>
      <b val="1"/>
      <color rgb="FF000000"/>
      <sz val="48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Times New Roman"/>
      <family val="2"/>
      <b val="1"/>
      <color theme="1"/>
      <sz val="24"/>
    </font>
    <font>
      <name val="Times New Roman"/>
      <family val="2"/>
      <b val="1"/>
      <color rgb="FFffffff"/>
      <sz val="26"/>
    </font>
    <font>
      <name val="宋体"/>
      <family val="2"/>
      <color theme="1"/>
      <sz val="16"/>
    </font>
    <font>
      <name val="宋体"/>
      <family val="2"/>
      <color theme="1"/>
      <sz val="12"/>
    </font>
    <font>
      <name val="HGPｺﾞｼｯｸM"/>
      <family val="2"/>
      <color theme="1"/>
      <sz val="12"/>
    </font>
    <font>
      <name val="宋体"/>
      <family val="2"/>
      <color theme="1"/>
      <sz val="11"/>
    </font>
    <font>
      <name val="宋体"/>
      <family val="2"/>
      <b val="1"/>
      <color theme="1"/>
      <sz val="10"/>
    </font>
    <font>
      <name val="游ゴシック"/>
      <family val="2"/>
      <color theme="1"/>
      <sz val="12"/>
    </font>
    <font>
      <name val="HGPｺﾞｼｯｸM"/>
      <family val="2"/>
      <b val="1"/>
      <color theme="1"/>
      <sz val="12"/>
    </font>
    <font>
      <name val="宋体"/>
      <family val="2"/>
      <color theme="1"/>
      <sz val="10"/>
    </font>
    <font>
      <name val="HGPｺﾞｼｯｸM"/>
      <family val="2"/>
      <color rgb="FF000000"/>
      <sz val="12"/>
    </font>
    <font>
      <name val="Aptos Narrow"/>
      <family val="2"/>
      <color rgb="FF000000"/>
      <sz val="11"/>
      <u val="single"/>
    </font>
    <font>
      <name val="宋体"/>
      <family val="2"/>
      <b val="1"/>
      <color theme="1"/>
      <sz val="11"/>
      <u val="single"/>
    </font>
    <font>
      <name val="HGPｺﾞｼｯｸM"/>
      <family val="2"/>
      <b val="1"/>
      <color rgb="FF000000"/>
      <sz val="16"/>
      <u val="single"/>
    </font>
    <font>
      <name val="HGPｺﾞｼｯｸM"/>
      <family val="2"/>
      <b val="1"/>
      <color rgb="FF000000"/>
      <sz val="11"/>
    </font>
    <font>
      <name val="HGPｺﾞｼｯｸM"/>
      <family val="2"/>
      <color rgb="FF000000"/>
      <sz val="11"/>
    </font>
    <font>
      <name val="HGPｺﾞｼｯｸM"/>
      <family val="2"/>
      <color theme="1"/>
      <sz val="12"/>
      <u val="single"/>
    </font>
    <font>
      <name val="HGPｺﾞｼｯｸM"/>
      <family val="2"/>
      <color rgb="FF000000"/>
      <sz val="12"/>
      <u val="single"/>
    </font>
    <font>
      <name val="HGPｺﾞｼｯｸM"/>
      <family val="2"/>
      <color rgb="FF000000"/>
      <sz val="14"/>
    </font>
    <font>
      <name val="Malgun Gothic"/>
      <family val="2"/>
      <color theme="1"/>
      <sz val="12"/>
    </font>
    <font>
      <name val="Calibri"/>
      <family val="2"/>
      <color theme="1"/>
      <sz val="11"/>
    </font>
    <font>
      <name val="宋体"/>
      <family val="2"/>
      <b val="1"/>
      <color theme="1"/>
      <sz val="18"/>
    </font>
    <font>
      <name val="宋体"/>
      <family val="2"/>
      <color rgb="FF000000"/>
      <sz val="22"/>
      <u val="single"/>
    </font>
    <font>
      <name val="Aptos Display"/>
      <family val="2"/>
      <b val="1"/>
      <color theme="1"/>
      <sz val="11"/>
    </font>
    <font>
      <name val="Aptos Display"/>
      <family val="2"/>
      <b val="1"/>
      <color theme="1"/>
      <sz val="12"/>
    </font>
    <font>
      <name val="Aptos Display"/>
      <family val="2"/>
      <b val="1"/>
      <color theme="1"/>
      <sz val="9"/>
    </font>
    <font>
      <name val="Calibri"/>
      <family val="2"/>
      <color theme="1"/>
      <sz val="14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HGPｺﾞｼｯｸM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  <font>
      <name val="HGPｺﾞｼｯｸM"/>
      <family val="2"/>
      <b val="1"/>
      <color theme="1"/>
      <sz val="11"/>
    </font>
    <font>
      <name val="Calibri"/>
      <family val="2"/>
      <color rgb="FF000000"/>
      <sz val="11"/>
    </font>
    <font>
      <name val="Aptos Narrow"/>
      <family val="2"/>
      <color theme="1"/>
      <sz val="8"/>
    </font>
    <font>
      <name val="Aptos Narrow"/>
      <family val="2"/>
      <color theme="1"/>
      <sz val="7"/>
    </font>
    <font>
      <name val="宋体"/>
      <family val="2"/>
      <color rgb="FF000000"/>
      <sz val="14"/>
    </font>
    <font>
      <name val="Aptos Narrow"/>
      <family val="2"/>
      <b val="1"/>
      <color theme="1"/>
      <sz val="14"/>
    </font>
    <font>
      <name val="宋体"/>
      <family val="2"/>
      <color theme="1"/>
      <sz val="14"/>
    </font>
    <font>
      <name val="HGPｺﾞｼｯｸM"/>
      <family val="2"/>
      <color theme="1"/>
      <sz val="18"/>
    </font>
    <font>
      <name val="ＭＳ Ｐゴシック"/>
      <family val="2"/>
      <color rgb="FF000000"/>
      <sz val="11"/>
    </font>
    <font>
      <name val="Aptos Narrow"/>
      <family val="2"/>
      <color rgb="FF000000"/>
      <sz val="18"/>
    </font>
    <font>
      <name val="Aptos Narrow"/>
      <family val="2"/>
      <color theme="1"/>
      <sz val="18"/>
    </font>
    <font>
      <name val="ＭＳ Ｐゴシック"/>
      <family val="2"/>
      <color rgb="FF000000"/>
      <sz val="16"/>
    </font>
    <font>
      <name val="宋体"/>
      <family val="2"/>
      <color rgb="FF000000"/>
      <sz val="18"/>
    </font>
  </fonts>
  <fills count="5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c6c6c6"/>
      </top>
      <bottom/>
      <diagonal/>
    </border>
    <border>
      <left/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1"/>
  </cellStyleXfs>
  <cellXfs count="144">
    <xf numFmtId="0" fontId="0" fillId="0" borderId="0" pivotButton="0" quotePrefix="0" xfId="0"/>
    <xf numFmtId="3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4" fillId="2" borderId="2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0" fontId="8" fillId="2" borderId="2" applyAlignment="1" pivotButton="0" quotePrefix="0" xfId="0">
      <alignment horizontal="left"/>
    </xf>
    <xf numFmtId="3" fontId="9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3" fontId="11" fillId="0" borderId="1" applyAlignment="1" pivotButton="0" quotePrefix="0" xfId="0">
      <alignment horizontal="left"/>
    </xf>
    <xf numFmtId="0" fontId="12" fillId="2" borderId="2" applyAlignment="1" pivotButton="0" quotePrefix="0" xfId="0">
      <alignment horizontal="left"/>
    </xf>
    <xf numFmtId="3" fontId="8" fillId="2" borderId="2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3" fontId="14" fillId="0" borderId="1" applyAlignment="1" pivotButton="0" quotePrefix="0" xfId="0">
      <alignment horizontal="right"/>
    </xf>
    <xf numFmtId="0" fontId="14" fillId="2" borderId="2" applyAlignment="1" pivotButton="0" quotePrefix="0" xfId="0">
      <alignment horizontal="left"/>
    </xf>
    <xf numFmtId="3" fontId="15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left"/>
    </xf>
    <xf numFmtId="164" fontId="13" fillId="0" borderId="1" applyAlignment="1" pivotButton="0" quotePrefix="0" xfId="0">
      <alignment horizontal="center"/>
    </xf>
    <xf numFmtId="164" fontId="16" fillId="0" borderId="1" applyAlignment="1" pivotButton="0" quotePrefix="0" xfId="0">
      <alignment horizontal="right"/>
    </xf>
    <xf numFmtId="0" fontId="14" fillId="0" borderId="1" applyAlignment="1" pivotButton="0" quotePrefix="0" xfId="0">
      <alignment horizontal="right"/>
    </xf>
    <xf numFmtId="3" fontId="17" fillId="2" borderId="2" applyAlignment="1" pivotButton="0" quotePrefix="0" xfId="0">
      <alignment horizontal="left"/>
    </xf>
    <xf numFmtId="0" fontId="18" fillId="2" borderId="2" applyAlignment="1" pivotButton="0" quotePrefix="0" xfId="0">
      <alignment horizontal="left"/>
    </xf>
    <xf numFmtId="164" fontId="19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20" fillId="2" borderId="2" applyAlignment="1" pivotButton="0" quotePrefix="0" xfId="0">
      <alignment horizontal="left"/>
    </xf>
    <xf numFmtId="3" fontId="21" fillId="2" borderId="2" applyAlignment="1" pivotButton="0" quotePrefix="0" xfId="0">
      <alignment horizontal="left"/>
    </xf>
    <xf numFmtId="0" fontId="21" fillId="2" borderId="2" applyAlignment="1" pivotButton="0" quotePrefix="0" xfId="0">
      <alignment horizontal="left"/>
    </xf>
    <xf numFmtId="0" fontId="21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left"/>
    </xf>
    <xf numFmtId="0" fontId="14" fillId="0" borderId="1" applyAlignment="1" pivotButton="0" quotePrefix="0" xfId="0">
      <alignment horizontal="left"/>
    </xf>
    <xf numFmtId="3" fontId="22" fillId="2" borderId="2" applyAlignment="1" pivotButton="0" quotePrefix="0" xfId="0">
      <alignment horizontal="left"/>
    </xf>
    <xf numFmtId="3" fontId="21" fillId="0" borderId="1" applyAlignment="1" pivotButton="0" quotePrefix="0" xfId="0">
      <alignment horizontal="left"/>
    </xf>
    <xf numFmtId="3" fontId="14" fillId="0" borderId="1" applyAlignment="1" pivotButton="0" quotePrefix="0" xfId="0">
      <alignment horizontal="left"/>
    </xf>
    <xf numFmtId="3" fontId="23" fillId="2" borderId="3" applyAlignment="1" pivotButton="0" quotePrefix="0" xfId="0">
      <alignment horizontal="left"/>
    </xf>
    <xf numFmtId="0" fontId="24" fillId="0" borderId="4" applyAlignment="1" pivotButton="0" quotePrefix="0" xfId="0">
      <alignment horizontal="left"/>
    </xf>
    <xf numFmtId="3" fontId="24" fillId="0" borderId="4" applyAlignment="1" pivotButton="0" quotePrefix="0" xfId="0">
      <alignment horizontal="left"/>
    </xf>
    <xf numFmtId="0" fontId="25" fillId="0" borderId="5" applyAlignment="1" pivotButton="0" quotePrefix="0" xfId="0">
      <alignment horizontal="center" vertical="top"/>
    </xf>
    <xf numFmtId="0" fontId="24" fillId="0" borderId="6" applyAlignment="1" pivotButton="0" quotePrefix="0" xfId="0">
      <alignment horizontal="left"/>
    </xf>
    <xf numFmtId="3" fontId="26" fillId="0" borderId="7" applyAlignment="1" pivotButton="0" quotePrefix="0" xfId="0">
      <alignment horizontal="center" vertical="top"/>
    </xf>
    <xf numFmtId="3" fontId="24" fillId="0" borderId="8" applyAlignment="1" pivotButton="0" quotePrefix="0" xfId="0">
      <alignment horizontal="left"/>
    </xf>
    <xf numFmtId="3" fontId="26" fillId="0" borderId="1" applyAlignment="1" pivotButton="0" quotePrefix="0" xfId="0">
      <alignment horizontal="center"/>
    </xf>
    <xf numFmtId="0" fontId="24" fillId="0" borderId="9" applyAlignment="1" pivotButton="0" quotePrefix="0" xfId="0">
      <alignment horizontal="left"/>
    </xf>
    <xf numFmtId="3" fontId="24" fillId="0" borderId="10" applyAlignment="1" pivotButton="0" quotePrefix="0" xfId="0">
      <alignment horizontal="left"/>
    </xf>
    <xf numFmtId="0" fontId="24" fillId="0" borderId="11" applyAlignment="1" pivotButton="0" quotePrefix="0" xfId="0">
      <alignment horizontal="left"/>
    </xf>
    <xf numFmtId="3" fontId="24" fillId="0" borderId="12" applyAlignment="1" pivotButton="0" quotePrefix="0" xfId="0">
      <alignment horizontal="left"/>
    </xf>
    <xf numFmtId="3" fontId="27" fillId="3" borderId="13" applyAlignment="1" pivotButton="0" quotePrefix="0" xfId="0">
      <alignment horizontal="center" vertical="top" wrapText="1"/>
    </xf>
    <xf numFmtId="0" fontId="27" fillId="3" borderId="13" applyAlignment="1" pivotButton="0" quotePrefix="0" xfId="0">
      <alignment horizontal="center" vertical="top" wrapText="1"/>
    </xf>
    <xf numFmtId="0" fontId="28" fillId="3" borderId="13" applyAlignment="1" pivotButton="0" quotePrefix="0" xfId="0">
      <alignment horizontal="center"/>
    </xf>
    <xf numFmtId="0" fontId="24" fillId="0" borderId="14" applyAlignment="1" pivotButton="0" quotePrefix="0" xfId="0">
      <alignment horizontal="left"/>
    </xf>
    <xf numFmtId="0" fontId="24" fillId="0" borderId="15" applyAlignment="1" pivotButton="0" quotePrefix="0" xfId="0">
      <alignment horizontal="left"/>
    </xf>
    <xf numFmtId="3" fontId="28" fillId="3" borderId="13" applyAlignment="1" pivotButton="0" quotePrefix="0" xfId="0">
      <alignment horizontal="center"/>
    </xf>
    <xf numFmtId="3" fontId="28" fillId="3" borderId="16" applyAlignment="1" pivotButton="0" quotePrefix="0" xfId="0">
      <alignment horizontal="center"/>
    </xf>
    <xf numFmtId="3" fontId="24" fillId="0" borderId="15" applyAlignment="1" pivotButton="0" quotePrefix="0" xfId="0">
      <alignment horizontal="left"/>
    </xf>
    <xf numFmtId="3" fontId="24" fillId="0" borderId="17" applyAlignment="1" pivotButton="0" quotePrefix="0" xfId="0">
      <alignment horizontal="left"/>
    </xf>
    <xf numFmtId="0" fontId="24" fillId="0" borderId="17" applyAlignment="1" pivotButton="0" quotePrefix="0" xfId="0">
      <alignment horizontal="left"/>
    </xf>
    <xf numFmtId="0" fontId="29" fillId="3" borderId="18" applyAlignment="1" pivotButton="0" quotePrefix="0" xfId="0">
      <alignment horizontal="center" wrapText="1"/>
    </xf>
    <xf numFmtId="0" fontId="7" fillId="3" borderId="19" applyAlignment="1" pivotButton="0" quotePrefix="0" xfId="0">
      <alignment horizontal="left"/>
    </xf>
    <xf numFmtId="3" fontId="7" fillId="0" borderId="13" applyAlignment="1" pivotButton="0" quotePrefix="0" xfId="0">
      <alignment horizontal="center" wrapText="1"/>
    </xf>
    <xf numFmtId="0" fontId="30" fillId="0" borderId="13" applyAlignment="1" pivotButton="0" quotePrefix="0" xfId="0">
      <alignment horizontal="center" wrapText="1"/>
    </xf>
    <xf numFmtId="0" fontId="31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left" wrapText="1"/>
    </xf>
    <xf numFmtId="0" fontId="33" fillId="0" borderId="13" applyAlignment="1" pivotButton="0" quotePrefix="0" xfId="0">
      <alignment horizontal="left" wrapText="1"/>
    </xf>
    <xf numFmtId="3" fontId="34" fillId="0" borderId="13" applyAlignment="1" pivotButton="0" quotePrefix="0" xfId="0">
      <alignment horizontal="right"/>
    </xf>
    <xf numFmtId="0" fontId="35" fillId="0" borderId="15" applyAlignment="1" pivotButton="0" quotePrefix="0" xfId="0">
      <alignment horizontal="center"/>
    </xf>
    <xf numFmtId="3" fontId="8" fillId="0" borderId="13" applyAlignment="1" pivotButton="0" quotePrefix="0" xfId="0">
      <alignment horizontal="center"/>
    </xf>
    <xf numFmtId="0" fontId="22" fillId="0" borderId="13" applyAlignment="1" pivotButton="0" quotePrefix="0" xfId="0">
      <alignment horizontal="center"/>
    </xf>
    <xf numFmtId="3" fontId="22" fillId="0" borderId="13" applyAlignment="1" pivotButton="0" quotePrefix="0" xfId="0">
      <alignment horizontal="right"/>
    </xf>
    <xf numFmtId="0" fontId="32" fillId="0" borderId="20" applyAlignment="1" pivotButton="0" quotePrefix="0" xfId="0">
      <alignment horizontal="left" wrapText="1"/>
    </xf>
    <xf numFmtId="0" fontId="32" fillId="0" borderId="15" applyAlignment="1" pivotButton="0" quotePrefix="0" xfId="0">
      <alignment horizontal="left" wrapText="1"/>
    </xf>
    <xf numFmtId="4" fontId="35" fillId="0" borderId="15" applyAlignment="1" pivotButton="0" quotePrefix="0" xfId="0">
      <alignment horizontal="center"/>
    </xf>
    <xf numFmtId="3" fontId="22" fillId="0" borderId="13" applyAlignment="1" pivotButton="0" quotePrefix="0" xfId="0">
      <alignment horizontal="center"/>
    </xf>
    <xf numFmtId="0" fontId="36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center"/>
    </xf>
    <xf numFmtId="0" fontId="37" fillId="0" borderId="13" applyAlignment="1" pivotButton="0" quotePrefix="0" xfId="0">
      <alignment horizontal="left" wrapText="1"/>
    </xf>
    <xf numFmtId="0" fontId="8" fillId="0" borderId="13" applyAlignment="1" pivotButton="0" quotePrefix="0" xfId="0">
      <alignment horizontal="left" wrapText="1"/>
    </xf>
    <xf numFmtId="0" fontId="33" fillId="0" borderId="13" applyAlignment="1" pivotButton="0" quotePrefix="0" xfId="0">
      <alignment horizontal="center" wrapText="1"/>
    </xf>
    <xf numFmtId="0" fontId="32" fillId="0" borderId="13" applyAlignment="1" pivotButton="0" quotePrefix="0" xfId="0">
      <alignment horizontal="left"/>
    </xf>
    <xf numFmtId="0" fontId="7" fillId="3" borderId="2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8" fillId="0" borderId="1" applyAlignment="1" pivotButton="0" quotePrefix="0" xfId="0">
      <alignment horizontal="center"/>
    </xf>
    <xf numFmtId="0" fontId="39" fillId="0" borderId="1" applyAlignment="1" pivotButton="0" quotePrefix="0" xfId="0">
      <alignment horizontal="center"/>
    </xf>
    <xf numFmtId="0" fontId="40" fillId="3" borderId="18" applyAlignment="1" pivotButton="0" quotePrefix="0" xfId="0">
      <alignment horizontal="right"/>
    </xf>
    <xf numFmtId="3" fontId="24" fillId="0" borderId="21" applyAlignment="1" pivotButton="0" quotePrefix="0" xfId="0">
      <alignment horizontal="left"/>
    </xf>
    <xf numFmtId="0" fontId="22" fillId="0" borderId="17" applyAlignment="1" pivotButton="0" quotePrefix="0" xfId="0">
      <alignment horizontal="center"/>
    </xf>
    <xf numFmtId="3" fontId="22" fillId="0" borderId="17" applyAlignment="1" pivotButton="0" quotePrefix="0" xfId="0">
      <alignment horizontal="right"/>
    </xf>
    <xf numFmtId="0" fontId="41" fillId="0" borderId="1" applyAlignment="1" pivotButton="0" quotePrefix="0" xfId="0">
      <alignment horizontal="left" wrapText="1"/>
    </xf>
    <xf numFmtId="0" fontId="40" fillId="3" borderId="13" applyAlignment="1" pivotButton="0" quotePrefix="0" xfId="0">
      <alignment horizontal="right"/>
    </xf>
    <xf numFmtId="3" fontId="7" fillId="0" borderId="1" applyAlignment="1" pivotButton="0" quotePrefix="0" xfId="0">
      <alignment horizontal="center"/>
    </xf>
    <xf numFmtId="0" fontId="42" fillId="3" borderId="13" applyAlignment="1" pivotButton="0" quotePrefix="0" xfId="0">
      <alignment horizontal="right"/>
    </xf>
    <xf numFmtId="0" fontId="42" fillId="0" borderId="1" applyAlignment="1" pivotButton="0" quotePrefix="0" xfId="0">
      <alignment horizontal="right"/>
    </xf>
    <xf numFmtId="3" fontId="42" fillId="0" borderId="1" applyAlignment="1" pivotButton="0" quotePrefix="0" xfId="0">
      <alignment horizontal="right"/>
    </xf>
    <xf numFmtId="3" fontId="22" fillId="0" borderId="1" applyAlignment="1" pivotButton="0" quotePrefix="0" xfId="0">
      <alignment horizontal="center"/>
    </xf>
    <xf numFmtId="3" fontId="22" fillId="0" borderId="1" applyAlignment="1" pivotButton="0" quotePrefix="0" xfId="0">
      <alignment horizontal="right"/>
    </xf>
    <xf numFmtId="3" fontId="4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40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42" fillId="0" borderId="1" applyAlignment="1" pivotButton="0" quotePrefix="0" xfId="0">
      <alignment horizontal="center"/>
    </xf>
    <xf numFmtId="0" fontId="44" fillId="0" borderId="1" applyAlignment="1" pivotButton="0" quotePrefix="0" xfId="0">
      <alignment horizontal="left"/>
    </xf>
    <xf numFmtId="3" fontId="45" fillId="0" borderId="1" applyAlignment="1" pivotButton="0" quotePrefix="0" xfId="0">
      <alignment horizontal="center"/>
    </xf>
    <xf numFmtId="0" fontId="45" fillId="0" borderId="1" applyAlignment="1" pivotButton="0" quotePrefix="0" xfId="0">
      <alignment horizontal="center"/>
    </xf>
    <xf numFmtId="3" fontId="46" fillId="0" borderId="1" applyAlignment="1" pivotButton="0" quotePrefix="0" xfId="0">
      <alignment horizontal="center"/>
    </xf>
    <xf numFmtId="0" fontId="46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2" applyAlignment="1" pivotButton="0" quotePrefix="0" xfId="0">
      <alignment horizontal="left"/>
    </xf>
    <xf numFmtId="3" fontId="47" fillId="0" borderId="1" applyAlignment="1" pivotButton="0" quotePrefix="0" xfId="0">
      <alignment horizontal="center"/>
    </xf>
    <xf numFmtId="0" fontId="47" fillId="0" borderId="1" applyAlignment="1" pivotButton="0" quotePrefix="0" xfId="0">
      <alignment horizontal="center"/>
    </xf>
    <xf numFmtId="3" fontId="48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" applyAlignment="1" pivotButton="0" quotePrefix="0" xfId="0">
      <alignment horizontal="general"/>
    </xf>
    <xf numFmtId="0" fontId="0" fillId="0" borderId="3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Q85"/>
  <sheetViews>
    <sheetView tabSelected="1" workbookViewId="0">
      <selection activeCell="A1" sqref="A1"/>
    </sheetView>
  </sheetViews>
  <sheetFormatPr baseColWidth="8" defaultRowHeight="15"/>
  <cols>
    <col width="4.290714285714285" bestFit="1" customWidth="1" style="124" min="1" max="1"/>
    <col width="12.57642857142857" bestFit="1" customWidth="1" style="125" min="2" max="2"/>
    <col width="12.86214285714286" bestFit="1" customWidth="1" style="125" min="3" max="3"/>
    <col width="28.14785714285714" bestFit="1" customWidth="1" style="125" min="4" max="4"/>
    <col width="22.14785714285714" bestFit="1" customWidth="1" style="125" min="5" max="5"/>
    <col width="8.576428571428572" bestFit="1" customWidth="1" style="125" min="6" max="6"/>
    <col width="9.862142857142858" bestFit="1" customWidth="1" style="125" min="7" max="7"/>
    <col width="5.147857142857143" bestFit="1" customWidth="1" style="124" min="8" max="8"/>
    <col width="4.719285714285714" bestFit="1" customWidth="1" style="125" min="9" max="9"/>
    <col width="11.86214285714286" bestFit="1" customWidth="1" style="126" min="10" max="10"/>
    <col width="5.719285714285714" bestFit="1" customWidth="1" style="127" min="11" max="11"/>
    <col width="16.14785714285714" bestFit="1" customWidth="1" style="124" min="12" max="12"/>
    <col width="10.57642857142857" bestFit="1" customWidth="1" style="125" min="13" max="13"/>
    <col width="3.147857142857143" bestFit="1" customWidth="1" style="125" min="14" max="14"/>
    <col width="5.290714285714285" bestFit="1" customWidth="1" style="125" min="15" max="15"/>
    <col width="4.576428571428571" bestFit="1" customWidth="1" style="125" min="16" max="16"/>
    <col width="10.57642857142857" bestFit="1" customWidth="1" style="125" min="17" max="17"/>
  </cols>
  <sheetData>
    <row r="1" ht="61.5" customHeight="1">
      <c r="A1" s="1" t="inlineStr">
        <is>
          <t>PURCHASE ORDER</t>
        </is>
      </c>
      <c r="M1" s="2" t="n"/>
      <c r="N1" s="2" t="n"/>
      <c r="O1" s="125" t="n"/>
      <c r="P1" s="125" t="n"/>
      <c r="Q1" s="125" t="n"/>
    </row>
    <row r="2" ht="42" customHeight="1">
      <c r="A2" s="7" t="inlineStr">
        <is>
          <t>CELEBRITY MILLENNIUM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9" t="n"/>
      <c r="M2" s="125" t="n"/>
      <c r="N2" s="125" t="n"/>
      <c r="O2" s="125" t="n"/>
      <c r="P2" s="125" t="n"/>
      <c r="Q2" s="125" t="n"/>
    </row>
    <row r="3" ht="36" customHeight="1">
      <c r="A3" s="8" t="n"/>
      <c r="B3" s="9" t="n"/>
      <c r="C3" s="9" t="n"/>
      <c r="D3" s="9" t="n"/>
      <c r="E3" s="9" t="n"/>
      <c r="F3" s="9" t="n"/>
      <c r="G3" s="9" t="n"/>
      <c r="H3" s="8" t="n"/>
      <c r="I3" s="9" t="n"/>
      <c r="J3" s="8" t="n"/>
      <c r="K3" s="9" t="n"/>
      <c r="L3" s="8" t="n"/>
      <c r="M3" s="125" t="n"/>
      <c r="N3" s="125" t="n"/>
      <c r="O3" s="125" t="n"/>
      <c r="P3" s="125" t="n"/>
      <c r="Q3" s="125" t="n"/>
    </row>
    <row r="4" ht="30" customHeight="1">
      <c r="A4" s="10" t="inlineStr">
        <is>
          <t>株式会社　松武</t>
        </is>
      </c>
      <c r="B4" s="11" t="n"/>
      <c r="C4" s="12" t="n"/>
      <c r="D4" s="12" t="n"/>
      <c r="E4" s="12" t="n"/>
      <c r="F4" s="12" t="n"/>
      <c r="G4" s="12" t="n"/>
      <c r="H4" s="13" t="n"/>
      <c r="I4" s="12" t="n"/>
      <c r="J4" s="14" t="inlineStr">
        <is>
          <t>DATE：</t>
        </is>
      </c>
      <c r="K4" s="15" t="inlineStr">
        <is>
          <t>16-Mar-2026</t>
        </is>
      </c>
      <c r="L4" s="129" t="n"/>
      <c r="M4" s="125" t="n"/>
      <c r="N4" s="125" t="n"/>
      <c r="O4" s="125" t="n"/>
      <c r="P4" s="125" t="n"/>
      <c r="Q4" s="125" t="n"/>
    </row>
    <row r="5" ht="24" customHeight="1">
      <c r="A5" s="16" t="inlineStr">
        <is>
          <t>阿明</t>
        </is>
      </c>
      <c r="B5" s="17" t="n"/>
      <c r="C5" s="18" t="n"/>
      <c r="D5" s="18" t="n"/>
      <c r="E5" s="18" t="n"/>
      <c r="F5" s="18" t="n"/>
      <c r="G5" s="18" t="n"/>
      <c r="H5" s="19" t="n"/>
      <c r="J5" s="14" t="inlineStr">
        <is>
          <t>Invoice：</t>
        </is>
      </c>
      <c r="K5" s="20" t="inlineStr">
        <is>
          <t>PO112240CCI</t>
        </is>
      </c>
      <c r="L5" s="21" t="n"/>
      <c r="M5" s="125" t="n"/>
      <c r="N5" s="125" t="n"/>
      <c r="O5" s="125" t="n"/>
      <c r="P5" s="125" t="n"/>
      <c r="Q5" s="125" t="n"/>
    </row>
    <row r="6" ht="24" customHeight="1">
      <c r="A6" s="16" t="inlineStr">
        <is>
          <t>東京都中央区築地6-21-2</t>
        </is>
      </c>
      <c r="B6" s="17" t="n"/>
      <c r="C6" s="22" t="n"/>
      <c r="D6" s="22" t="n"/>
      <c r="E6" s="22" t="n"/>
      <c r="F6" s="22" t="n"/>
      <c r="G6" s="22" t="n"/>
      <c r="H6" s="13" t="n"/>
      <c r="I6" s="12" t="n"/>
      <c r="J6" s="23" t="inlineStr">
        <is>
          <t>Voyage：</t>
        </is>
      </c>
      <c r="K6" s="24" t="inlineStr">
        <is>
          <t>SO-1234</t>
        </is>
      </c>
      <c r="L6" s="129" t="n"/>
      <c r="M6" s="125" t="n"/>
      <c r="N6" s="125" t="n"/>
      <c r="O6" s="125" t="n"/>
      <c r="P6" s="125" t="n"/>
      <c r="Q6" s="125" t="n"/>
    </row>
    <row r="7" ht="18.75" customHeight="1">
      <c r="A7" s="25" t="inlineStr">
        <is>
          <t>03-5492-3105</t>
        </is>
      </c>
      <c r="B7" s="26" t="n"/>
      <c r="C7" s="22" t="n"/>
      <c r="D7" s="22" t="n"/>
      <c r="E7" s="22" t="n"/>
      <c r="F7" s="22" t="n"/>
      <c r="G7" s="22" t="n"/>
      <c r="H7" s="27" t="n"/>
      <c r="J7" s="28" t="n"/>
      <c r="M7" s="125" t="n"/>
      <c r="N7" s="125" t="n"/>
      <c r="O7" s="125" t="n"/>
      <c r="P7" s="125" t="n"/>
      <c r="Q7" s="125" t="n"/>
    </row>
    <row r="8" ht="24" customHeight="1">
      <c r="A8" s="25" t="inlineStr">
        <is>
          <t>cruise.merit@gmail.com</t>
        </is>
      </c>
      <c r="B8" s="26" t="n"/>
      <c r="C8" s="22" t="n"/>
      <c r="D8" s="22" t="n"/>
      <c r="E8" s="22" t="n"/>
      <c r="F8" s="29" t="inlineStr">
        <is>
          <t>Delivery Date:</t>
        </is>
      </c>
      <c r="H8" s="30" t="inlineStr">
        <is>
          <t>28-Mar-2026</t>
        </is>
      </c>
      <c r="I8" s="128" t="n"/>
      <c r="J8" s="129" t="n"/>
      <c r="K8" s="31" t="inlineStr">
        <is>
          <t>[午前中]厳守</t>
        </is>
      </c>
      <c r="L8" s="32" t="n"/>
      <c r="M8" s="32" t="n"/>
      <c r="N8" s="125" t="n"/>
      <c r="O8" s="125" t="n"/>
      <c r="P8" s="125" t="n"/>
      <c r="Q8" s="125" t="n"/>
    </row>
    <row r="9" ht="24" customHeight="1">
      <c r="A9" s="13" t="n"/>
      <c r="B9" s="12" t="n"/>
      <c r="C9" s="12" t="n"/>
      <c r="D9" s="12" t="n"/>
      <c r="E9" s="12" t="n"/>
      <c r="F9" s="33" t="inlineStr">
        <is>
          <t>Delivery Address:</t>
        </is>
      </c>
      <c r="H9" s="21" t="inlineStr">
        <is>
          <t>1050 Caribbean Way MIAMI, FL 33331 UNITED STATES</t>
        </is>
      </c>
      <c r="I9" s="128" t="n"/>
      <c r="J9" s="128" t="n"/>
      <c r="K9" s="128" t="n"/>
      <c r="L9" s="129" t="n"/>
      <c r="M9" s="34" t="n"/>
      <c r="N9" s="125" t="n"/>
      <c r="O9" s="125" t="n"/>
      <c r="P9" s="125" t="n"/>
      <c r="Q9" s="125" t="n"/>
    </row>
    <row r="10" ht="24" customHeight="1">
      <c r="A10" s="13" t="n"/>
      <c r="B10" s="12" t="n"/>
      <c r="C10" s="12" t="n"/>
      <c r="D10" s="12" t="n"/>
      <c r="E10" s="12" t="n"/>
      <c r="F10" s="35" t="n"/>
      <c r="G10" s="35" t="n"/>
      <c r="H10" s="21" t="inlineStr">
        <is>
          <t>YOKOHAMA</t>
        </is>
      </c>
      <c r="I10" s="36" t="n"/>
      <c r="J10" s="37" t="n"/>
      <c r="K10" s="38" t="n"/>
      <c r="L10" s="37" t="n"/>
      <c r="M10" s="39" t="n"/>
      <c r="N10" s="125" t="n"/>
      <c r="O10" s="125" t="n"/>
      <c r="P10" s="125" t="n"/>
      <c r="Q10" s="125" t="n"/>
    </row>
    <row r="11" ht="24" customHeight="1">
      <c r="A11" s="13" t="n"/>
      <c r="B11" s="12" t="n"/>
      <c r="C11" s="12" t="n"/>
      <c r="D11" s="12" t="n"/>
      <c r="E11" s="12" t="n"/>
      <c r="F11" s="35" t="n"/>
      <c r="G11" s="35" t="n"/>
      <c r="H11" s="40" t="inlineStr">
        <is>
          <t>担当：Ms.佐藤　090-0000-0000</t>
        </is>
      </c>
      <c r="I11" s="36" t="n"/>
      <c r="J11" s="37" t="n"/>
      <c r="K11" s="38" t="n"/>
      <c r="L11" s="37" t="n"/>
      <c r="M11" s="39" t="n"/>
      <c r="N11" s="125" t="n"/>
      <c r="O11" s="125" t="n"/>
      <c r="P11" s="125" t="n"/>
      <c r="Q11" s="125" t="n"/>
    </row>
    <row r="12" ht="24" customHeight="1">
      <c r="A12" s="13" t="n"/>
      <c r="B12" s="12" t="n"/>
      <c r="C12" s="12" t="n"/>
      <c r="D12" s="12" t="n"/>
      <c r="E12" s="12" t="n"/>
      <c r="F12" s="41" t="n"/>
      <c r="G12" s="41" t="n"/>
      <c r="H12" s="40" t="n"/>
      <c r="I12" s="36" t="inlineStr">
        <is>
          <t>CELEBRITY MILLENNIUM</t>
        </is>
      </c>
      <c r="J12" s="42" t="n"/>
      <c r="K12" s="24" t="n"/>
      <c r="L12" s="42" t="n"/>
      <c r="M12" s="39" t="n"/>
      <c r="N12" s="125" t="n"/>
      <c r="O12" s="125" t="n"/>
      <c r="P12" s="125" t="n"/>
      <c r="Q12" s="125" t="n"/>
    </row>
    <row r="13" ht="30" customHeight="1">
      <c r="A13" s="10" t="inlineStr">
        <is>
          <t>株式会社メリットトレーディング</t>
        </is>
      </c>
      <c r="B13" s="11" t="n"/>
      <c r="C13" s="12" t="n"/>
      <c r="D13" s="12" t="n"/>
      <c r="E13" s="12" t="n"/>
      <c r="F13" s="34" t="inlineStr">
        <is>
          <t>Payment Date:</t>
        </is>
      </c>
      <c r="G13" s="34" t="n"/>
      <c r="H13" s="21" t="inlineStr">
        <is>
          <t>前振り込み</t>
        </is>
      </c>
      <c r="I13" s="128" t="n"/>
      <c r="J13" s="129" t="n"/>
      <c r="K13" s="39" t="n"/>
      <c r="L13" s="43" t="n"/>
      <c r="M13" s="39" t="n"/>
      <c r="N13" s="125" t="n"/>
      <c r="O13" s="125" t="n"/>
      <c r="P13" s="125" t="n"/>
      <c r="Q13" s="125" t="n"/>
    </row>
    <row r="14" ht="24" customHeight="1">
      <c r="A14" s="13" t="inlineStr">
        <is>
          <t>〒900-0003</t>
        </is>
      </c>
      <c r="B14" s="12" t="n"/>
      <c r="C14" s="12" t="n"/>
      <c r="D14" s="12" t="n"/>
      <c r="E14" s="12" t="n"/>
      <c r="F14" s="34" t="inlineStr">
        <is>
          <t>Payment Method:</t>
        </is>
      </c>
      <c r="G14" s="34" t="n"/>
      <c r="H14" s="21" t="inlineStr">
        <is>
          <t>口座振り込み</t>
        </is>
      </c>
      <c r="I14" s="15" t="n"/>
      <c r="J14" s="21" t="n"/>
      <c r="K14" s="34" t="n"/>
      <c r="L14" s="44" t="n"/>
      <c r="M14" s="34" t="n"/>
      <c r="N14" s="125" t="n"/>
      <c r="O14" s="125" t="n"/>
      <c r="P14" s="125" t="n"/>
      <c r="Q14" s="125" t="n"/>
    </row>
    <row r="15" ht="24" customHeight="1">
      <c r="A15" s="13" t="inlineStr">
        <is>
          <t>沖縄県那覇市安謝1-2-21 アーバンウエスト秋桜201</t>
        </is>
      </c>
      <c r="B15" s="12" t="n"/>
      <c r="C15" s="12" t="n"/>
      <c r="D15" s="12" t="n"/>
      <c r="E15" s="12" t="n"/>
      <c r="F15" s="34" t="inlineStr">
        <is>
          <t>担当者及び連絡先：</t>
        </is>
      </c>
      <c r="G15" s="34" t="n"/>
      <c r="H15" s="45" t="inlineStr">
        <is>
          <t>邢　080-4311-1145</t>
        </is>
      </c>
      <c r="I15" s="130" t="n"/>
      <c r="J15" s="131" t="n"/>
      <c r="K15" s="34" t="n"/>
      <c r="L15" s="40" t="n"/>
      <c r="M15" s="34" t="n"/>
      <c r="N15" s="125" t="n"/>
      <c r="O15" s="125" t="n"/>
      <c r="P15" s="125" t="n"/>
      <c r="Q15" s="125" t="n"/>
    </row>
    <row r="16" ht="30.75" customHeight="1">
      <c r="A16" s="25" t="inlineStr">
        <is>
          <t>TEL:098-917-2295</t>
        </is>
      </c>
      <c r="B16" s="26" t="n"/>
      <c r="C16" s="12" t="n"/>
      <c r="D16" s="12" t="n"/>
      <c r="E16" s="12" t="n"/>
      <c r="F16" s="48" t="inlineStr">
        <is>
          <t>TOTAL:</t>
        </is>
      </c>
      <c r="G16" s="132" t="n"/>
      <c r="H16" s="50">
        <f>L74</f>
        <v/>
      </c>
      <c r="I16" s="132" t="n"/>
      <c r="J16" s="133" t="n"/>
      <c r="K16" s="52" t="n"/>
      <c r="L16" s="13" t="n"/>
      <c r="M16" s="125" t="n"/>
      <c r="N16" s="125" t="n"/>
      <c r="O16" s="125" t="n"/>
      <c r="P16" s="125" t="n"/>
      <c r="Q16" s="125" t="n"/>
    </row>
    <row r="17" ht="30.75" customHeight="1">
      <c r="A17" s="25" t="inlineStr">
        <is>
          <t>FAX:098-917-2296</t>
        </is>
      </c>
      <c r="B17" s="26" t="n"/>
      <c r="C17" s="12" t="n"/>
      <c r="D17" s="12" t="n"/>
      <c r="E17" s="12" t="n"/>
      <c r="F17" s="134" t="n"/>
      <c r="J17" s="135" t="n"/>
      <c r="K17" s="52" t="n"/>
      <c r="L17" s="13" t="n"/>
      <c r="M17" s="125" t="n"/>
      <c r="N17" s="125" t="n"/>
      <c r="O17" s="125" t="n"/>
      <c r="P17" s="125" t="n"/>
      <c r="Q17" s="125" t="n"/>
    </row>
    <row r="18" ht="30.75" customHeight="1">
      <c r="A18" s="25" t="inlineStr">
        <is>
          <t>E-mail:cruise.merit@gmail.com</t>
        </is>
      </c>
      <c r="B18" s="26" t="n"/>
      <c r="C18" s="12" t="n"/>
      <c r="D18" s="12" t="n"/>
      <c r="E18" s="12" t="n"/>
      <c r="F18" s="136" t="n"/>
      <c r="G18" s="137" t="n"/>
      <c r="H18" s="137" t="n"/>
      <c r="I18" s="137" t="n"/>
      <c r="J18" s="138" t="n"/>
      <c r="K18" s="52" t="n"/>
      <c r="L18" s="13" t="n"/>
      <c r="M18" s="125" t="n"/>
      <c r="N18" s="125" t="n"/>
      <c r="O18" s="125" t="n"/>
      <c r="P18" s="125" t="n"/>
      <c r="Q18" s="125" t="n"/>
    </row>
    <row r="19" ht="19.5" customHeight="1">
      <c r="A19" s="13" t="n"/>
      <c r="B19" s="12" t="n"/>
      <c r="C19" s="12" t="n"/>
      <c r="D19" s="12" t="n"/>
      <c r="E19" s="12" t="n"/>
      <c r="F19" s="12" t="n"/>
      <c r="G19" s="12" t="n"/>
      <c r="H19" s="13" t="n"/>
      <c r="I19" s="12" t="n"/>
      <c r="J19" s="13" t="n"/>
      <c r="K19" s="12" t="n"/>
      <c r="L19" s="13" t="n"/>
      <c r="M19" s="125" t="n"/>
      <c r="N19" s="125" t="n"/>
      <c r="O19" s="125" t="n"/>
      <c r="P19" s="125" t="n"/>
      <c r="Q19" s="125" t="n"/>
    </row>
    <row r="20" ht="24.75" customHeight="1">
      <c r="A20" s="57" t="inlineStr">
        <is>
          <t>NO.</t>
        </is>
      </c>
      <c r="B20" s="58" t="inlineStr">
        <is>
          <t>PO No.</t>
        </is>
      </c>
      <c r="C20" s="59" t="inlineStr">
        <is>
          <t>Product（商品名）</t>
        </is>
      </c>
      <c r="D20" s="139" t="n"/>
      <c r="E20" s="140" t="n"/>
      <c r="F20" s="59" t="inlineStr">
        <is>
          <t>Description</t>
        </is>
      </c>
      <c r="G20" s="140" t="n"/>
      <c r="H20" s="62" t="inlineStr">
        <is>
          <t>Quantity</t>
        </is>
      </c>
      <c r="I20" s="140" t="n"/>
      <c r="J20" s="63" t="inlineStr">
        <is>
          <t>Unit price</t>
        </is>
      </c>
      <c r="K20" s="59" t="inlineStr">
        <is>
          <t>Amount(JPY)</t>
        </is>
      </c>
      <c r="L20" s="140" t="n"/>
      <c r="M20" s="125" t="n"/>
      <c r="N20" s="125" t="n"/>
      <c r="O20" s="125" t="n"/>
      <c r="P20" s="125" t="n"/>
      <c r="Q20" s="125" t="n"/>
    </row>
    <row r="21" ht="24" customHeight="1">
      <c r="A21" s="141" t="n"/>
      <c r="B21" s="141" t="n"/>
      <c r="C21" s="67" t="inlineStr">
        <is>
          <t>商品コード</t>
        </is>
      </c>
      <c r="D21" s="59" t="inlineStr">
        <is>
          <t>英語表記</t>
        </is>
      </c>
      <c r="E21" s="59" t="inlineStr">
        <is>
          <t>日本語表記</t>
        </is>
      </c>
      <c r="F21" s="59" t="inlineStr">
        <is>
          <t>（詳細）</t>
        </is>
      </c>
      <c r="G21" s="140" t="n"/>
      <c r="H21" s="62" t="inlineStr">
        <is>
          <t>(数量)</t>
        </is>
      </c>
      <c r="I21" s="140" t="n"/>
      <c r="J21" s="63" t="inlineStr">
        <is>
          <t>(単価）</t>
        </is>
      </c>
      <c r="K21" s="59" t="inlineStr">
        <is>
          <t>(合計)</t>
        </is>
      </c>
      <c r="L21" s="140" t="n"/>
      <c r="M21" s="68" t="n"/>
      <c r="N21" s="125" t="n"/>
      <c r="O21" s="125" t="n"/>
      <c r="P21" s="125" t="n"/>
      <c r="Q21" s="125" t="n"/>
    </row>
    <row r="22" ht="44.25" customHeight="1">
      <c r="A22" s="69" t="n">
        <v>1</v>
      </c>
      <c r="B22" s="70" t="inlineStr">
        <is>
          <t>PO112240CCI</t>
        </is>
      </c>
      <c r="C22" s="71" t="inlineStr">
        <is>
          <t>99PRD010588</t>
        </is>
      </c>
      <c r="D22" s="72" t="inlineStr">
        <is>
          <t>APPLE GRANNY SMITH US EXTRA FANCY 125CT/40LB</t>
        </is>
      </c>
      <c r="E22" s="73" t="inlineStr">
        <is>
          <t>王林りんご（緑）</t>
        </is>
      </c>
      <c r="F22" s="72" t="inlineStr">
        <is>
          <t>32-46ct/10kg</t>
        </is>
      </c>
      <c r="H22" s="74" t="n">
        <v>50</v>
      </c>
      <c r="I22" s="75" t="inlineStr">
        <is>
          <t>KG</t>
        </is>
      </c>
      <c r="J22" s="76" t="n">
        <v>450</v>
      </c>
      <c r="K22" s="77" t="inlineStr">
        <is>
          <t>JPY</t>
        </is>
      </c>
      <c r="L22" s="78">
        <f>H22*J22</f>
        <v/>
      </c>
      <c r="M22" s="125" t="n"/>
      <c r="N22" s="125" t="n"/>
      <c r="O22" s="125" t="n"/>
      <c r="P22" s="125" t="n"/>
      <c r="Q22" s="125" t="n"/>
    </row>
    <row r="23" ht="39" customHeight="1">
      <c r="A23" s="69" t="n">
        <v>2</v>
      </c>
      <c r="B23" s="70" t="inlineStr">
        <is>
          <t>PO112240CCI</t>
        </is>
      </c>
      <c r="C23" s="71" t="inlineStr">
        <is>
          <t>99PRD010590</t>
        </is>
      </c>
      <c r="D23" s="72" t="inlineStr">
        <is>
          <t>APPLE RED DELICIOUS US EXTRA FANCY 125CT/40LB</t>
        </is>
      </c>
      <c r="E23" s="73" t="inlineStr">
        <is>
          <t>レッドデリシャスアップル</t>
        </is>
      </c>
      <c r="F23" s="72" t="inlineStr">
        <is>
          <t>32-46ct/10kg</t>
        </is>
      </c>
      <c r="G23" s="80" t="n"/>
      <c r="H23" s="74" t="n">
        <v>100</v>
      </c>
      <c r="I23" s="75" t="inlineStr">
        <is>
          <t>KG</t>
        </is>
      </c>
      <c r="J23" s="76" t="n">
        <v>460</v>
      </c>
      <c r="K23" s="77" t="inlineStr">
        <is>
          <t>JPY</t>
        </is>
      </c>
      <c r="L23" s="78">
        <f>H23*J23</f>
        <v/>
      </c>
      <c r="M23" s="142" t="n"/>
      <c r="N23" s="142" t="n"/>
      <c r="O23" s="142" t="n"/>
      <c r="P23" s="142" t="n"/>
      <c r="Q23" s="142" t="n"/>
    </row>
    <row r="24" ht="39" customHeight="1">
      <c r="A24" s="69" t="n">
        <v>3</v>
      </c>
      <c r="B24" s="70" t="inlineStr">
        <is>
          <t>PO112240CCI</t>
        </is>
      </c>
      <c r="C24" s="71" t="inlineStr">
        <is>
          <t>99PRD010601</t>
        </is>
      </c>
      <c r="D24" s="72" t="inlineStr">
        <is>
          <t>ASPARAGUS GREEN LARGE</t>
        </is>
      </c>
      <c r="E24" s="73" t="inlineStr">
        <is>
          <t>アスパラガス（緑）</t>
        </is>
      </c>
      <c r="F24" s="72" t="inlineStr">
        <is>
          <t>CT/5KG</t>
        </is>
      </c>
      <c r="G24" s="80" t="n"/>
      <c r="H24" s="74" t="n">
        <v>50</v>
      </c>
      <c r="I24" s="75" t="inlineStr">
        <is>
          <t>KG</t>
        </is>
      </c>
      <c r="J24" s="76" t="n">
        <v>1815</v>
      </c>
      <c r="K24" s="77" t="inlineStr">
        <is>
          <t>JPY</t>
        </is>
      </c>
      <c r="L24" s="78">
        <f>H24*J24</f>
        <v/>
      </c>
      <c r="M24" s="142" t="n"/>
      <c r="N24" s="142" t="n"/>
      <c r="O24" s="142" t="n"/>
      <c r="P24" s="142" t="n"/>
      <c r="Q24" s="142" t="n"/>
    </row>
    <row r="25" ht="39" customHeight="1">
      <c r="A25" s="69" t="n">
        <v>4</v>
      </c>
      <c r="B25" s="70" t="inlineStr">
        <is>
          <t>PO112240CCI</t>
        </is>
      </c>
      <c r="C25" s="71" t="inlineStr">
        <is>
          <t>99PRD010604</t>
        </is>
      </c>
      <c r="D25" s="72" t="inlineStr">
        <is>
          <t>AVOCADO HASS 3/4 RIPE 60CT #2</t>
        </is>
      </c>
      <c r="E25" s="73" t="inlineStr">
        <is>
          <t>アボカド3/4熟</t>
        </is>
      </c>
      <c r="F25" s="72" t="inlineStr">
        <is>
          <t>30ct/6kg</t>
        </is>
      </c>
      <c r="G25" s="80" t="n"/>
      <c r="H25" s="74" t="n">
        <v>50</v>
      </c>
      <c r="I25" s="75" t="inlineStr">
        <is>
          <t>KG</t>
        </is>
      </c>
      <c r="J25" s="76" t="n">
        <v>750</v>
      </c>
      <c r="K25" s="77" t="inlineStr">
        <is>
          <t>JPY</t>
        </is>
      </c>
      <c r="L25" s="78">
        <f>H25*J25</f>
        <v/>
      </c>
      <c r="M25" s="142" t="n"/>
      <c r="N25" s="142" t="n"/>
      <c r="O25" s="142" t="n"/>
      <c r="P25" s="142" t="n"/>
      <c r="Q25" s="142" t="n"/>
    </row>
    <row r="26" ht="39" customHeight="1">
      <c r="A26" s="69" t="n">
        <v>5</v>
      </c>
      <c r="B26" s="70" t="inlineStr">
        <is>
          <t>PO112240CCI</t>
        </is>
      </c>
      <c r="C26" s="71" t="inlineStr">
        <is>
          <t>99PRD010690</t>
        </is>
      </c>
      <c r="D26" s="72" t="inlineStr">
        <is>
          <t>BEET RED LARGE 25LB</t>
        </is>
      </c>
      <c r="E26" s="73" t="inlineStr">
        <is>
          <t>赤い　ビーツ</t>
        </is>
      </c>
      <c r="F26" s="72" t="inlineStr">
        <is>
          <t>ct/10kg</t>
        </is>
      </c>
      <c r="G26" s="80" t="n"/>
      <c r="H26" s="74" t="n">
        <v>20</v>
      </c>
      <c r="I26" s="75" t="inlineStr">
        <is>
          <t>KG</t>
        </is>
      </c>
      <c r="J26" s="76" t="n">
        <v>600</v>
      </c>
      <c r="K26" s="77" t="inlineStr">
        <is>
          <t>JPY</t>
        </is>
      </c>
      <c r="L26" s="78">
        <f>H26*J26</f>
        <v/>
      </c>
      <c r="M26" s="142" t="n"/>
      <c r="N26" s="142" t="n"/>
      <c r="O26" s="142" t="n"/>
      <c r="P26" s="142" t="n"/>
      <c r="Q26" s="142" t="n"/>
    </row>
    <row r="27" ht="44.25" customHeight="1">
      <c r="A27" s="69" t="n">
        <v>6</v>
      </c>
      <c r="B27" s="70" t="inlineStr">
        <is>
          <t>PO112240CCI</t>
        </is>
      </c>
      <c r="C27" s="71" t="inlineStr">
        <is>
          <t>99PRD010717</t>
        </is>
      </c>
      <c r="D27" s="72" t="inlineStr">
        <is>
          <t>BROCCOLI WHOLE STALK 2-3 INCH 14CT/20LB</t>
        </is>
      </c>
      <c r="E27" s="73" t="inlineStr">
        <is>
          <t>ブロッコリー(茎つき2～3インチ）</t>
        </is>
      </c>
      <c r="F27" s="72" t="inlineStr">
        <is>
          <t>12ct/4kg</t>
        </is>
      </c>
      <c r="G27" s="80" t="n"/>
      <c r="H27" s="74" t="n">
        <v>250</v>
      </c>
      <c r="I27" s="75" t="inlineStr">
        <is>
          <t>KG</t>
        </is>
      </c>
      <c r="J27" s="76" t="n">
        <v>484</v>
      </c>
      <c r="K27" s="77" t="inlineStr">
        <is>
          <t>JPY</t>
        </is>
      </c>
      <c r="L27" s="78">
        <f>H27*J27</f>
        <v/>
      </c>
      <c r="M27" s="142" t="n"/>
      <c r="N27" s="142" t="n"/>
      <c r="O27" s="142" t="n"/>
      <c r="P27" s="142" t="n"/>
      <c r="Q27" s="142" t="n"/>
    </row>
    <row r="28" ht="46.5" customHeight="1">
      <c r="A28" s="69" t="n">
        <v>7</v>
      </c>
      <c r="B28" s="70" t="inlineStr">
        <is>
          <t>PO112240CCI</t>
        </is>
      </c>
      <c r="C28" s="71" t="inlineStr">
        <is>
          <t>99PRD010726</t>
        </is>
      </c>
      <c r="D28" s="72" t="inlineStr">
        <is>
          <t>CABBAGE BOK CHOY</t>
        </is>
      </c>
      <c r="E28" s="73" t="inlineStr">
        <is>
          <t>青梗菜</t>
        </is>
      </c>
      <c r="F28" s="72" t="inlineStr">
        <is>
          <t>10ct/2kg</t>
        </is>
      </c>
      <c r="G28" s="80" t="n"/>
      <c r="H28" s="74" t="n">
        <v>110</v>
      </c>
      <c r="I28" s="75" t="inlineStr">
        <is>
          <t>KG</t>
        </is>
      </c>
      <c r="J28" s="76" t="n">
        <v>500</v>
      </c>
      <c r="K28" s="77" t="inlineStr">
        <is>
          <t>JPY</t>
        </is>
      </c>
      <c r="L28" s="78">
        <f>H28*J28</f>
        <v/>
      </c>
      <c r="M28" s="142" t="n"/>
      <c r="N28" s="142" t="n"/>
      <c r="O28" s="142" t="n"/>
      <c r="P28" s="142" t="n"/>
      <c r="Q28" s="142" t="n"/>
    </row>
    <row r="29" ht="46.5" customHeight="1">
      <c r="A29" s="69" t="n">
        <v>8</v>
      </c>
      <c r="B29" s="70" t="inlineStr">
        <is>
          <t>PO112240CCI</t>
        </is>
      </c>
      <c r="C29" s="71" t="inlineStr">
        <is>
          <t>99PRD010728</t>
        </is>
      </c>
      <c r="D29" s="72" t="inlineStr">
        <is>
          <t>CABBAGE NAPA</t>
        </is>
      </c>
      <c r="E29" s="73" t="inlineStr">
        <is>
          <t>白菜</t>
        </is>
      </c>
      <c r="F29" s="72" t="inlineStr">
        <is>
          <t>4ct/12kg</t>
        </is>
      </c>
      <c r="G29" s="80" t="n"/>
      <c r="H29" s="74" t="n">
        <v>100</v>
      </c>
      <c r="I29" s="75" t="inlineStr">
        <is>
          <t>KG</t>
        </is>
      </c>
      <c r="J29" s="76" t="n">
        <v>139</v>
      </c>
      <c r="K29" s="77" t="inlineStr">
        <is>
          <t>JPY</t>
        </is>
      </c>
      <c r="L29" s="78">
        <f>H29*J29</f>
        <v/>
      </c>
      <c r="M29" s="142" t="n"/>
      <c r="N29" s="142" t="n"/>
      <c r="O29" s="142" t="n"/>
      <c r="P29" s="142" t="n"/>
      <c r="Q29" s="142" t="n"/>
    </row>
    <row r="30" ht="46.5" customHeight="1">
      <c r="A30" s="69" t="n">
        <v>9</v>
      </c>
      <c r="B30" s="70" t="inlineStr">
        <is>
          <t>PO112240CCI</t>
        </is>
      </c>
      <c r="C30" s="71" t="inlineStr">
        <is>
          <t>99PRD010730</t>
        </is>
      </c>
      <c r="D30" s="72" t="inlineStr">
        <is>
          <t>CABBAGE GREEN</t>
        </is>
      </c>
      <c r="E30" s="73" t="inlineStr">
        <is>
          <t>キャベツ</t>
        </is>
      </c>
      <c r="F30" s="72" t="inlineStr">
        <is>
          <t>6-8ct/10kg</t>
        </is>
      </c>
      <c r="H30" s="74" t="n">
        <v>250</v>
      </c>
      <c r="I30" s="75" t="inlineStr">
        <is>
          <t>KG</t>
        </is>
      </c>
      <c r="J30" s="76" t="n">
        <v>165</v>
      </c>
      <c r="K30" s="77" t="inlineStr">
        <is>
          <t>JPY</t>
        </is>
      </c>
      <c r="L30" s="78">
        <f>H30*J30</f>
        <v/>
      </c>
      <c r="M30" s="142" t="n"/>
      <c r="N30" s="142" t="n"/>
      <c r="O30" s="142" t="n"/>
      <c r="P30" s="142" t="n"/>
      <c r="Q30" s="142" t="n"/>
    </row>
    <row r="31" ht="46.5" customHeight="1">
      <c r="A31" s="69" t="n">
        <v>10</v>
      </c>
      <c r="B31" s="70" t="inlineStr">
        <is>
          <t>PO112240CCI</t>
        </is>
      </c>
      <c r="C31" s="71" t="inlineStr">
        <is>
          <t>99PRD010732</t>
        </is>
      </c>
      <c r="D31" s="72" t="inlineStr">
        <is>
          <t>CABBAGE RED</t>
        </is>
      </c>
      <c r="E31" s="73" t="inlineStr">
        <is>
          <t>レッドキャベツ</t>
        </is>
      </c>
      <c r="F31" s="72" t="inlineStr">
        <is>
          <t>6-9ct/6kg</t>
        </is>
      </c>
      <c r="H31" s="74" t="n">
        <v>50</v>
      </c>
      <c r="I31" s="75" t="inlineStr">
        <is>
          <t>KG</t>
        </is>
      </c>
      <c r="J31" s="76" t="n">
        <v>280</v>
      </c>
      <c r="K31" s="77" t="inlineStr">
        <is>
          <t>JPY</t>
        </is>
      </c>
      <c r="L31" s="78">
        <f>H31*J31</f>
        <v/>
      </c>
      <c r="M31" s="142" t="n"/>
      <c r="N31" s="142" t="n"/>
      <c r="O31" s="142" t="n"/>
      <c r="P31" s="142" t="n"/>
      <c r="Q31" s="142" t="n"/>
    </row>
    <row r="32" ht="46.5" customHeight="1">
      <c r="A32" s="69" t="n">
        <v>11</v>
      </c>
      <c r="B32" s="70" t="inlineStr">
        <is>
          <t>PO112240CCI</t>
        </is>
      </c>
      <c r="C32" s="71" t="inlineStr">
        <is>
          <t>99PRD010750</t>
        </is>
      </c>
      <c r="D32" s="72" t="inlineStr">
        <is>
          <t>CAULIFLOWER 9-12CT/24LB</t>
        </is>
      </c>
      <c r="E32" s="73" t="inlineStr">
        <is>
          <t>カリフラワー</t>
        </is>
      </c>
      <c r="F32" s="72" t="inlineStr">
        <is>
          <t>8ct/5kg</t>
        </is>
      </c>
      <c r="H32" s="74" t="n">
        <v>200</v>
      </c>
      <c r="I32" s="75" t="inlineStr">
        <is>
          <t>KG</t>
        </is>
      </c>
      <c r="J32" s="76" t="n">
        <v>506</v>
      </c>
      <c r="K32" s="77" t="inlineStr">
        <is>
          <t>JPY</t>
        </is>
      </c>
      <c r="L32" s="78">
        <f>H32*J32</f>
        <v/>
      </c>
      <c r="M32" s="142" t="n"/>
      <c r="N32" s="142" t="n"/>
      <c r="O32" s="142" t="n"/>
      <c r="P32" s="142" t="n"/>
      <c r="Q32" s="142" t="n"/>
    </row>
    <row r="33" ht="46.5" customHeight="1">
      <c r="A33" s="69" t="n">
        <v>12</v>
      </c>
      <c r="B33" s="70" t="inlineStr">
        <is>
          <t>PO112240CCI</t>
        </is>
      </c>
      <c r="C33" s="71" t="inlineStr">
        <is>
          <t>99PRD010762</t>
        </is>
      </c>
      <c r="D33" s="72" t="inlineStr">
        <is>
          <t>CELERY TABLE WASHED 36CT/55LB</t>
        </is>
      </c>
      <c r="E33" s="73" t="inlineStr">
        <is>
          <t>セロリ（洗浄済）</t>
        </is>
      </c>
      <c r="F33" s="72" t="inlineStr">
        <is>
          <t>5-7ct/10kg</t>
        </is>
      </c>
      <c r="G33" s="140" t="n"/>
      <c r="H33" s="74" t="n">
        <v>100</v>
      </c>
      <c r="I33" s="75" t="inlineStr">
        <is>
          <t>KG</t>
        </is>
      </c>
      <c r="J33" s="76" t="n">
        <v>270</v>
      </c>
      <c r="K33" s="77" t="inlineStr">
        <is>
          <t>JPY</t>
        </is>
      </c>
      <c r="L33" s="78">
        <f>H33*J33</f>
        <v/>
      </c>
      <c r="M33" s="142" t="n"/>
      <c r="N33" s="142" t="n"/>
      <c r="O33" s="142" t="n"/>
      <c r="P33" s="142" t="n"/>
      <c r="Q33" s="142" t="n"/>
    </row>
    <row r="34" ht="46.5" customHeight="1">
      <c r="A34" s="69" t="n">
        <v>13</v>
      </c>
      <c r="B34" s="70" t="inlineStr">
        <is>
          <t>PO112240CCI</t>
        </is>
      </c>
      <c r="C34" s="71" t="inlineStr">
        <is>
          <t>99PRD010964</t>
        </is>
      </c>
      <c r="D34" s="72" t="inlineStr">
        <is>
          <t>CUCUMBER SELECT 84CT/50LB</t>
        </is>
      </c>
      <c r="E34" s="73" t="inlineStr">
        <is>
          <t>きゅうり</t>
        </is>
      </c>
      <c r="F34" s="72" t="inlineStr">
        <is>
          <t>CT/5KG</t>
        </is>
      </c>
      <c r="G34" s="140" t="n"/>
      <c r="H34" s="74" t="n">
        <v>200</v>
      </c>
      <c r="I34" s="75" t="inlineStr">
        <is>
          <t>KG</t>
        </is>
      </c>
      <c r="J34" s="76" t="n">
        <v>400</v>
      </c>
      <c r="K34" s="77" t="inlineStr">
        <is>
          <t>JPY</t>
        </is>
      </c>
      <c r="L34" s="78">
        <f>H34*J34</f>
        <v/>
      </c>
      <c r="M34" s="142" t="n"/>
      <c r="N34" s="142" t="n"/>
      <c r="O34" s="142" t="n"/>
      <c r="P34" s="142" t="n"/>
      <c r="Q34" s="142" t="n"/>
    </row>
    <row r="35" ht="46.5" customHeight="1">
      <c r="A35" s="69" t="n">
        <v>14</v>
      </c>
      <c r="B35" s="70" t="inlineStr">
        <is>
          <t>PO112240CCI</t>
        </is>
      </c>
      <c r="C35" s="71" t="inlineStr">
        <is>
          <t>99PRD011032</t>
        </is>
      </c>
      <c r="D35" s="72" t="inlineStr">
        <is>
          <t>EGGPLANT FANCY/EXPORT 18-24CT/25LB</t>
        </is>
      </c>
      <c r="E35" s="73" t="inlineStr">
        <is>
          <t>長なす</t>
        </is>
      </c>
      <c r="F35" s="72" t="inlineStr">
        <is>
          <t>CT/4KG</t>
        </is>
      </c>
      <c r="G35" s="140" t="n"/>
      <c r="H35" s="74" t="n">
        <v>100</v>
      </c>
      <c r="I35" s="75" t="inlineStr">
        <is>
          <t>KG</t>
        </is>
      </c>
      <c r="J35" s="76" t="n">
        <v>400</v>
      </c>
      <c r="K35" s="77" t="inlineStr">
        <is>
          <t>JPY</t>
        </is>
      </c>
      <c r="L35" s="78">
        <f>H35*J35</f>
        <v/>
      </c>
      <c r="M35" s="142" t="n"/>
      <c r="N35" s="142" t="n"/>
      <c r="O35" s="142" t="n"/>
      <c r="P35" s="142" t="n"/>
      <c r="Q35" s="142" t="n"/>
    </row>
    <row r="36" ht="46.5" customHeight="1">
      <c r="A36" s="69" t="n">
        <v>15</v>
      </c>
      <c r="B36" s="70" t="inlineStr">
        <is>
          <t>PO112240CCI</t>
        </is>
      </c>
      <c r="C36" s="71" t="inlineStr">
        <is>
          <t>99PRD011142</t>
        </is>
      </c>
      <c r="D36" s="72" t="inlineStr">
        <is>
          <t>GINGER LARGE HAND</t>
        </is>
      </c>
      <c r="E36" s="73" t="inlineStr">
        <is>
          <t>生姜</t>
        </is>
      </c>
      <c r="F36" s="72" t="inlineStr">
        <is>
          <t>CT/5KG</t>
        </is>
      </c>
      <c r="G36" s="140" t="n"/>
      <c r="H36" s="74" t="n">
        <v>100</v>
      </c>
      <c r="I36" s="75" t="inlineStr">
        <is>
          <t>KG</t>
        </is>
      </c>
      <c r="J36" s="76" t="n">
        <v>450</v>
      </c>
      <c r="K36" s="77" t="inlineStr">
        <is>
          <t>JPY</t>
        </is>
      </c>
      <c r="L36" s="78">
        <f>H36*J36</f>
        <v/>
      </c>
      <c r="M36" s="142" t="n"/>
      <c r="N36" s="142" t="n"/>
      <c r="O36" s="142" t="n"/>
      <c r="P36" s="142" t="n"/>
      <c r="Q36" s="142" t="n"/>
    </row>
    <row r="37" ht="46.5" customHeight="1">
      <c r="A37" s="69" t="n">
        <v>16</v>
      </c>
      <c r="B37" s="70" t="inlineStr">
        <is>
          <t>PO112240CCI</t>
        </is>
      </c>
      <c r="C37" s="71" t="inlineStr">
        <is>
          <t>99PRD011160</t>
        </is>
      </c>
      <c r="D37" s="72" t="inlineStr">
        <is>
          <t>GRAPES RED SEEDLESS MEDIUM</t>
        </is>
      </c>
      <c r="E37" s="73" t="inlineStr">
        <is>
          <t>无籽紅提/レッドシードレス</t>
        </is>
      </c>
      <c r="F37" s="72" t="inlineStr">
        <is>
          <t>CT/8.2KG</t>
        </is>
      </c>
      <c r="H37" s="74" t="n">
        <v>150</v>
      </c>
      <c r="I37" s="75" t="inlineStr">
        <is>
          <t>KG</t>
        </is>
      </c>
      <c r="J37" s="76" t="n">
        <v>900</v>
      </c>
      <c r="K37" s="77" t="inlineStr">
        <is>
          <t>JPY</t>
        </is>
      </c>
      <c r="L37" s="78">
        <f>H37*J37</f>
        <v/>
      </c>
      <c r="M37" s="142" t="n"/>
      <c r="N37" s="142" t="n"/>
      <c r="O37" s="142" t="n"/>
      <c r="P37" s="142" t="n"/>
      <c r="Q37" s="142" t="n"/>
    </row>
    <row r="38" ht="46.5" customHeight="1">
      <c r="A38" s="69" t="n">
        <v>17</v>
      </c>
      <c r="B38" s="70" t="inlineStr">
        <is>
          <t>PO112240CCI</t>
        </is>
      </c>
      <c r="C38" s="71" t="inlineStr">
        <is>
          <t>99PRD011161</t>
        </is>
      </c>
      <c r="D38" s="72" t="inlineStr">
        <is>
          <t>GRAPES GREEN SEEDLESS MEDIUM</t>
        </is>
      </c>
      <c r="E38" s="73" t="inlineStr">
        <is>
          <t>无籽青提/グリーンシードレス</t>
        </is>
      </c>
      <c r="F38" s="72" t="inlineStr">
        <is>
          <t>CT/8.2KG</t>
        </is>
      </c>
      <c r="G38" s="140" t="n"/>
      <c r="H38" s="74" t="n">
        <v>40</v>
      </c>
      <c r="I38" s="75" t="inlineStr">
        <is>
          <t>KG</t>
        </is>
      </c>
      <c r="J38" s="76" t="n">
        <v>900</v>
      </c>
      <c r="K38" s="77" t="inlineStr">
        <is>
          <t>JPY</t>
        </is>
      </c>
      <c r="L38" s="78">
        <f>H38*J38</f>
        <v/>
      </c>
      <c r="M38" s="142" t="n"/>
      <c r="N38" s="142" t="n"/>
      <c r="O38" s="142" t="n"/>
      <c r="P38" s="142" t="n"/>
      <c r="Q38" s="142" t="n"/>
    </row>
    <row r="39" ht="46.5" customHeight="1">
      <c r="A39" s="69" t="n">
        <v>18</v>
      </c>
      <c r="B39" s="70" t="inlineStr">
        <is>
          <t>PO112240CCI</t>
        </is>
      </c>
      <c r="C39" s="71" t="inlineStr">
        <is>
          <t>99PRD011269</t>
        </is>
      </c>
      <c r="D39" s="72" t="inlineStr">
        <is>
          <t>KIWIFRUIT 20LB</t>
        </is>
      </c>
      <c r="E39" s="73" t="inlineStr">
        <is>
          <t>キウイ</t>
        </is>
      </c>
      <c r="F39" s="72" t="inlineStr">
        <is>
          <t>33CT/3.6KG</t>
        </is>
      </c>
      <c r="G39" s="140" t="n"/>
      <c r="H39" s="74" t="n">
        <v>10</v>
      </c>
      <c r="I39" s="75" t="inlineStr">
        <is>
          <t>KG</t>
        </is>
      </c>
      <c r="J39" s="76" t="n">
        <v>700</v>
      </c>
      <c r="K39" s="77" t="inlineStr">
        <is>
          <t>JPY</t>
        </is>
      </c>
      <c r="L39" s="78">
        <f>H39*J39</f>
        <v/>
      </c>
      <c r="M39" s="142" t="n"/>
      <c r="N39" s="142" t="n"/>
      <c r="O39" s="142" t="n"/>
      <c r="P39" s="142" t="n"/>
      <c r="Q39" s="142" t="n"/>
    </row>
    <row r="40" ht="46.5" customHeight="1">
      <c r="A40" s="69" t="n">
        <v>19</v>
      </c>
      <c r="B40" s="70" t="inlineStr">
        <is>
          <t>PO112240CCI</t>
        </is>
      </c>
      <c r="C40" s="71" t="inlineStr">
        <is>
          <t>99PRD011336</t>
        </is>
      </c>
      <c r="D40" s="72" t="inlineStr">
        <is>
          <t>LEEKS LARGE</t>
        </is>
      </c>
      <c r="E40" s="73" t="inlineStr">
        <is>
          <t>ネギ</t>
        </is>
      </c>
      <c r="F40" s="72" t="inlineStr">
        <is>
          <t>CT/5KG</t>
        </is>
      </c>
      <c r="G40" s="140" t="n"/>
      <c r="H40" s="74" t="n">
        <v>100</v>
      </c>
      <c r="I40" s="75" t="inlineStr">
        <is>
          <t>KG</t>
        </is>
      </c>
      <c r="J40" s="76" t="n">
        <v>350</v>
      </c>
      <c r="K40" s="77" t="inlineStr">
        <is>
          <t>JPY</t>
        </is>
      </c>
      <c r="L40" s="78">
        <f>H40*J40</f>
        <v/>
      </c>
      <c r="M40" s="142" t="n"/>
      <c r="N40" s="142" t="n"/>
      <c r="O40" s="142" t="n"/>
      <c r="P40" s="142" t="n"/>
      <c r="Q40" s="142" t="n"/>
    </row>
    <row r="41" ht="46.5" customHeight="1">
      <c r="A41" s="69" t="n">
        <v>20</v>
      </c>
      <c r="B41" s="70" t="inlineStr">
        <is>
          <t>PO112240CCI</t>
        </is>
      </c>
      <c r="C41" s="71" t="inlineStr">
        <is>
          <t>99PRD011337</t>
        </is>
      </c>
      <c r="D41" s="72" t="inlineStr">
        <is>
          <t>LEMON CHOICE 235CT/38LB</t>
        </is>
      </c>
      <c r="E41" s="73" t="inlineStr">
        <is>
          <t>レモン</t>
        </is>
      </c>
      <c r="F41" s="72" t="inlineStr">
        <is>
          <t>165CT/17KG</t>
        </is>
      </c>
      <c r="G41" s="140" t="n"/>
      <c r="H41" s="74" t="n">
        <v>350</v>
      </c>
      <c r="I41" s="75" t="inlineStr">
        <is>
          <t>KG</t>
        </is>
      </c>
      <c r="J41" s="76" t="n">
        <v>450</v>
      </c>
      <c r="K41" s="77" t="inlineStr">
        <is>
          <t>JPY</t>
        </is>
      </c>
      <c r="L41" s="78">
        <f>H41*J41</f>
        <v/>
      </c>
      <c r="M41" s="142" t="n"/>
      <c r="N41" s="142" t="n"/>
      <c r="O41" s="142" t="n"/>
      <c r="P41" s="142" t="n"/>
      <c r="Q41" s="142" t="n"/>
    </row>
    <row r="42" ht="46.5" customHeight="1">
      <c r="A42" s="69" t="n">
        <v>21</v>
      </c>
      <c r="B42" s="70" t="inlineStr">
        <is>
          <t>PO112240CCI</t>
        </is>
      </c>
      <c r="C42" s="71" t="inlineStr">
        <is>
          <t>99PRD011349</t>
        </is>
      </c>
      <c r="D42" s="72" t="inlineStr">
        <is>
          <t>LETTUCE ICEBERG 24CT/50LB</t>
        </is>
      </c>
      <c r="E42" s="73" t="inlineStr">
        <is>
          <t>アイスバーグレタス</t>
        </is>
      </c>
      <c r="F42" s="72" t="inlineStr">
        <is>
          <t>16-22CT/8KG</t>
        </is>
      </c>
      <c r="G42" s="140" t="n"/>
      <c r="H42" s="74" t="n">
        <v>150</v>
      </c>
      <c r="I42" s="75" t="inlineStr">
        <is>
          <t>KG</t>
        </is>
      </c>
      <c r="J42" s="76" t="n">
        <v>300</v>
      </c>
      <c r="K42" s="77" t="inlineStr">
        <is>
          <t>JPY</t>
        </is>
      </c>
      <c r="L42" s="78">
        <f>H42*J42</f>
        <v/>
      </c>
      <c r="M42" s="142" t="n"/>
      <c r="N42" s="142" t="n"/>
      <c r="O42" s="142" t="n"/>
      <c r="P42" s="142" t="n"/>
      <c r="Q42" s="142" t="n"/>
    </row>
    <row r="43" ht="46.5" customHeight="1">
      <c r="A43" s="69" t="n">
        <v>22</v>
      </c>
      <c r="B43" s="70" t="inlineStr">
        <is>
          <t>PO112240CCI</t>
        </is>
      </c>
      <c r="C43" s="71" t="inlineStr">
        <is>
          <t>99PRD011356</t>
        </is>
      </c>
      <c r="D43" s="72" t="inlineStr">
        <is>
          <t>LETTUCE ROMAINE 24CT/40LB</t>
        </is>
      </c>
      <c r="E43" s="73" t="inlineStr">
        <is>
          <t>ロメインレタス</t>
        </is>
      </c>
      <c r="F43" s="72" t="inlineStr">
        <is>
          <t>CT/6kg</t>
        </is>
      </c>
      <c r="G43" s="140" t="n"/>
      <c r="H43" s="74" t="n">
        <v>250</v>
      </c>
      <c r="I43" s="75" t="inlineStr">
        <is>
          <t>KG</t>
        </is>
      </c>
      <c r="J43" s="76" t="n">
        <v>285</v>
      </c>
      <c r="K43" s="77" t="inlineStr">
        <is>
          <t>JPY</t>
        </is>
      </c>
      <c r="L43" s="78">
        <f>H43*J43</f>
        <v/>
      </c>
      <c r="M43" s="142" t="n"/>
      <c r="N43" s="142" t="n"/>
      <c r="O43" s="142" t="n"/>
      <c r="P43" s="142" t="n"/>
      <c r="Q43" s="142" t="n"/>
    </row>
    <row r="44" ht="46.5" customHeight="1">
      <c r="A44" s="69" t="n">
        <v>23</v>
      </c>
      <c r="B44" s="70" t="inlineStr">
        <is>
          <t>PO112240CCI</t>
        </is>
      </c>
      <c r="C44" s="71" t="inlineStr">
        <is>
          <t>99PRD011357</t>
        </is>
      </c>
      <c r="D44" s="72" t="inlineStr">
        <is>
          <t>LIME 250CT/38LB</t>
        </is>
      </c>
      <c r="E44" s="73" t="inlineStr">
        <is>
          <t>ライム</t>
        </is>
      </c>
      <c r="F44" s="72" t="inlineStr">
        <is>
          <t>ct/17kg</t>
        </is>
      </c>
      <c r="G44" s="140" t="n"/>
      <c r="H44" s="74" t="n">
        <v>100</v>
      </c>
      <c r="I44" s="75" t="inlineStr">
        <is>
          <t>KG</t>
        </is>
      </c>
      <c r="J44" s="76" t="n">
        <v>1000</v>
      </c>
      <c r="K44" s="77" t="inlineStr">
        <is>
          <t>JPY</t>
        </is>
      </c>
      <c r="L44" s="78">
        <f>H44*J44</f>
        <v/>
      </c>
      <c r="M44" s="142" t="n"/>
      <c r="N44" s="142" t="n"/>
      <c r="O44" s="142" t="n"/>
      <c r="P44" s="142" t="n"/>
      <c r="Q44" s="142" t="n"/>
    </row>
    <row r="45" ht="46.5" customHeight="1">
      <c r="A45" s="69" t="n">
        <v>24</v>
      </c>
      <c r="B45" s="70" t="inlineStr">
        <is>
          <t>PO112240CCI</t>
        </is>
      </c>
      <c r="C45" s="71" t="inlineStr">
        <is>
          <t>99PRD011371</t>
        </is>
      </c>
      <c r="D45" s="72" t="inlineStr">
        <is>
          <t>MANGO 3/4 RIPE 8-9CT/8LB</t>
        </is>
      </c>
      <c r="E45" s="73" t="inlineStr">
        <is>
          <t>マンゴ3/4熟</t>
        </is>
      </c>
      <c r="F45" s="72" t="inlineStr">
        <is>
          <t>18CT/7KG</t>
        </is>
      </c>
      <c r="G45" s="140" t="n"/>
      <c r="H45" s="74" t="n">
        <v>20</v>
      </c>
      <c r="I45" s="75" t="inlineStr">
        <is>
          <t>KG</t>
        </is>
      </c>
      <c r="J45" s="76" t="n">
        <v>1400</v>
      </c>
      <c r="K45" s="77" t="inlineStr">
        <is>
          <t>JPY</t>
        </is>
      </c>
      <c r="L45" s="78">
        <f>H45*J45</f>
        <v/>
      </c>
      <c r="M45" s="142" t="n"/>
      <c r="N45" s="142" t="n"/>
      <c r="O45" s="142" t="n"/>
      <c r="P45" s="142" t="n"/>
      <c r="Q45" s="142" t="n"/>
    </row>
    <row r="46" ht="46.5" customHeight="1">
      <c r="A46" s="69" t="n">
        <v>25</v>
      </c>
      <c r="B46" s="70" t="inlineStr">
        <is>
          <t>PO112240CCI</t>
        </is>
      </c>
      <c r="C46" s="71" t="inlineStr">
        <is>
          <t>99PRD011388</t>
        </is>
      </c>
      <c r="D46" s="72" t="inlineStr">
        <is>
          <t>MELON CANTALOUPE JUMBO 9CT/40LB</t>
        </is>
      </c>
      <c r="E46" s="73" t="inlineStr">
        <is>
          <t>メロン（赤身）</t>
        </is>
      </c>
      <c r="F46" s="72" t="inlineStr">
        <is>
          <t>5-7CT/13.5KG</t>
        </is>
      </c>
      <c r="G46" s="140" t="n"/>
      <c r="H46" s="74" t="n">
        <v>700</v>
      </c>
      <c r="I46" s="75" t="inlineStr">
        <is>
          <t>KG</t>
        </is>
      </c>
      <c r="J46" s="76" t="n">
        <v>500</v>
      </c>
      <c r="K46" s="77" t="inlineStr">
        <is>
          <t>JPY</t>
        </is>
      </c>
      <c r="L46" s="78">
        <f>H46*J46</f>
        <v/>
      </c>
      <c r="M46" s="142" t="n"/>
      <c r="N46" s="142" t="n"/>
      <c r="O46" s="142" t="n"/>
      <c r="P46" s="142" t="n"/>
      <c r="Q46" s="142" t="n"/>
    </row>
    <row r="47" ht="46.5" customHeight="1">
      <c r="A47" s="69" t="n">
        <v>26</v>
      </c>
      <c r="B47" s="70" t="inlineStr">
        <is>
          <t>PO112240CCI</t>
        </is>
      </c>
      <c r="C47" s="71" t="inlineStr">
        <is>
          <t>99PRD011389</t>
        </is>
      </c>
      <c r="D47" s="72" t="inlineStr">
        <is>
          <t>MELON HONEYDEW JUMBO 5-6CT/35LB</t>
        </is>
      </c>
      <c r="E47" s="73" t="inlineStr">
        <is>
          <t>メロン（青身）</t>
        </is>
      </c>
      <c r="F47" s="72" t="inlineStr">
        <is>
          <t>5-6CT/11KG</t>
        </is>
      </c>
      <c r="G47" s="140" t="n"/>
      <c r="H47" s="74" t="n">
        <v>600</v>
      </c>
      <c r="I47" s="75" t="inlineStr">
        <is>
          <t>KG</t>
        </is>
      </c>
      <c r="J47" s="76" t="n">
        <v>460</v>
      </c>
      <c r="K47" s="77" t="inlineStr">
        <is>
          <t>JPY</t>
        </is>
      </c>
      <c r="L47" s="78">
        <f>H47*J47</f>
        <v/>
      </c>
      <c r="M47" s="142" t="n"/>
      <c r="N47" s="142" t="n"/>
      <c r="O47" s="142" t="n"/>
      <c r="P47" s="142" t="n"/>
      <c r="Q47" s="142" t="n"/>
    </row>
    <row r="48" ht="46.5" customHeight="1">
      <c r="A48" s="69" t="n">
        <v>27</v>
      </c>
      <c r="B48" s="70" t="inlineStr">
        <is>
          <t>PO112240CCI</t>
        </is>
      </c>
      <c r="C48" s="71" t="inlineStr">
        <is>
          <t>99PRD011390</t>
        </is>
      </c>
      <c r="D48" s="72" t="inlineStr">
        <is>
          <t>MELON WATERMELON RED 65LB</t>
        </is>
      </c>
      <c r="E48" s="73" t="inlineStr">
        <is>
          <t>スイカ（赤）</t>
        </is>
      </c>
      <c r="F48" s="72" t="inlineStr">
        <is>
          <t>CT/8-15KG</t>
        </is>
      </c>
      <c r="G48" s="140" t="n"/>
      <c r="H48" s="74" t="n">
        <v>1120</v>
      </c>
      <c r="I48" s="75" t="inlineStr">
        <is>
          <t>KG</t>
        </is>
      </c>
      <c r="J48" s="76" t="n">
        <v>350</v>
      </c>
      <c r="K48" s="77" t="inlineStr">
        <is>
          <t>JPY</t>
        </is>
      </c>
      <c r="L48" s="78">
        <f>H48*J48</f>
        <v/>
      </c>
      <c r="M48" s="142" t="n"/>
      <c r="N48" s="142" t="n"/>
      <c r="O48" s="142" t="n"/>
      <c r="P48" s="142" t="n"/>
      <c r="Q48" s="142" t="n"/>
    </row>
    <row r="49" ht="46.5" customHeight="1">
      <c r="A49" s="69" t="n">
        <v>28</v>
      </c>
      <c r="B49" s="70" t="inlineStr">
        <is>
          <t>PO112240CCI</t>
        </is>
      </c>
      <c r="C49" s="71" t="inlineStr">
        <is>
          <t>99PRD011458</t>
        </is>
      </c>
      <c r="D49" s="72" t="inlineStr">
        <is>
          <t>MUSHROOM BUTTON EXPORT MEDIUM CLEANED</t>
        </is>
      </c>
      <c r="E49" s="73" t="inlineStr">
        <is>
          <t>マシュールーム（白）</t>
        </is>
      </c>
      <c r="F49" s="72" t="inlineStr">
        <is>
          <t>CT/1KG</t>
        </is>
      </c>
      <c r="G49" s="140" t="n"/>
      <c r="H49" s="74" t="n">
        <v>300</v>
      </c>
      <c r="I49" s="75" t="inlineStr">
        <is>
          <t>KG</t>
        </is>
      </c>
      <c r="J49" s="76" t="n">
        <v>978</v>
      </c>
      <c r="K49" s="77" t="inlineStr">
        <is>
          <t>JPY</t>
        </is>
      </c>
      <c r="L49" s="78">
        <f>H49*J49</f>
        <v/>
      </c>
      <c r="M49" s="142" t="n"/>
      <c r="N49" s="142" t="n"/>
      <c r="O49" s="142" t="n"/>
      <c r="P49" s="142" t="n"/>
      <c r="Q49" s="142" t="n"/>
    </row>
    <row r="50" ht="46.5" customHeight="1">
      <c r="A50" s="69" t="n">
        <v>29</v>
      </c>
      <c r="B50" s="70" t="inlineStr">
        <is>
          <t>PO112240CCI</t>
        </is>
      </c>
      <c r="C50" s="71" t="inlineStr">
        <is>
          <t>99PRD011463</t>
        </is>
      </c>
      <c r="D50" s="72" t="inlineStr">
        <is>
          <t>MUSHROOM OYSTER FIRM</t>
        </is>
      </c>
      <c r="E50" s="73" t="inlineStr">
        <is>
          <t>ヒラタケ</t>
        </is>
      </c>
      <c r="F50" s="72" t="inlineStr">
        <is>
          <t>CT/2KG</t>
        </is>
      </c>
      <c r="G50" s="140" t="n"/>
      <c r="H50" s="74" t="n">
        <v>7</v>
      </c>
      <c r="I50" s="75" t="inlineStr">
        <is>
          <t>KG</t>
        </is>
      </c>
      <c r="J50" s="76" t="n">
        <v>1500</v>
      </c>
      <c r="K50" s="77" t="inlineStr">
        <is>
          <t>JPY</t>
        </is>
      </c>
      <c r="L50" s="78">
        <f>H50*J50</f>
        <v/>
      </c>
      <c r="M50" s="142" t="n"/>
      <c r="N50" s="142" t="n"/>
      <c r="O50" s="142" t="n"/>
      <c r="P50" s="142" t="n"/>
      <c r="Q50" s="142" t="n"/>
    </row>
    <row r="51" ht="46.5" customHeight="1">
      <c r="A51" s="69" t="n">
        <v>30</v>
      </c>
      <c r="B51" s="70" t="inlineStr">
        <is>
          <t>PO112240CCI</t>
        </is>
      </c>
      <c r="C51" s="71" t="inlineStr">
        <is>
          <t>99PRD011540</t>
        </is>
      </c>
      <c r="D51" s="72" t="inlineStr">
        <is>
          <t>OKRA</t>
        </is>
      </c>
      <c r="E51" s="73" t="inlineStr">
        <is>
          <t>オクラ</t>
        </is>
      </c>
      <c r="F51" s="72" t="inlineStr">
        <is>
          <t>50CT/3.5KG</t>
        </is>
      </c>
      <c r="G51" s="140" t="n"/>
      <c r="H51" s="74" t="n">
        <v>30</v>
      </c>
      <c r="I51" s="75" t="inlineStr">
        <is>
          <t>KG</t>
        </is>
      </c>
      <c r="J51" s="76" t="n">
        <v>1100</v>
      </c>
      <c r="K51" s="77" t="inlineStr">
        <is>
          <t>JPY</t>
        </is>
      </c>
      <c r="L51" s="78">
        <f>H51*J51</f>
        <v/>
      </c>
      <c r="M51" s="142" t="n"/>
      <c r="N51" s="142" t="n"/>
      <c r="O51" s="142" t="n"/>
      <c r="P51" s="142" t="n"/>
      <c r="Q51" s="142" t="n"/>
    </row>
    <row r="52" ht="46.5" customHeight="1">
      <c r="A52" s="69" t="n">
        <v>31</v>
      </c>
      <c r="B52" s="70" t="inlineStr">
        <is>
          <t>PO112240CCI</t>
        </is>
      </c>
      <c r="C52" s="71" t="inlineStr">
        <is>
          <t>99PRD011549</t>
        </is>
      </c>
      <c r="D52" s="72" t="inlineStr">
        <is>
          <t>ONION GREEN SCALLION 48CT</t>
        </is>
      </c>
      <c r="E52" s="73" t="inlineStr">
        <is>
          <t>青ネギ</t>
        </is>
      </c>
      <c r="F52" s="72" t="inlineStr">
        <is>
          <t>20CT/2KG</t>
        </is>
      </c>
      <c r="G52" s="140" t="n"/>
      <c r="H52" s="74" t="n">
        <v>50</v>
      </c>
      <c r="I52" s="75" t="inlineStr">
        <is>
          <t>KG</t>
        </is>
      </c>
      <c r="J52" s="76" t="n">
        <v>955</v>
      </c>
      <c r="K52" s="77" t="inlineStr">
        <is>
          <t>JPY</t>
        </is>
      </c>
      <c r="L52" s="78">
        <f>H52*J52</f>
        <v/>
      </c>
      <c r="M52" s="142" t="n"/>
      <c r="N52" s="142" t="n"/>
      <c r="O52" s="142" t="n"/>
      <c r="P52" s="142" t="n"/>
      <c r="Q52" s="142" t="n"/>
    </row>
    <row r="53" ht="46.5" customHeight="1">
      <c r="A53" s="69" t="n">
        <v>32</v>
      </c>
      <c r="B53" s="70" t="inlineStr">
        <is>
          <t>PO112240CCI</t>
        </is>
      </c>
      <c r="C53" s="71" t="inlineStr">
        <is>
          <t>99PRD011551</t>
        </is>
      </c>
      <c r="D53" s="72" t="inlineStr">
        <is>
          <t>ONION RED MEDIUM</t>
        </is>
      </c>
      <c r="E53" s="73" t="inlineStr">
        <is>
          <t>赤玉ねぎ</t>
        </is>
      </c>
      <c r="F53" s="72" t="inlineStr">
        <is>
          <t>CT/10KG</t>
        </is>
      </c>
      <c r="G53" s="140" t="n"/>
      <c r="H53" s="74" t="n">
        <v>150</v>
      </c>
      <c r="I53" s="75" t="inlineStr">
        <is>
          <t>KG</t>
        </is>
      </c>
      <c r="J53" s="76" t="n">
        <v>300</v>
      </c>
      <c r="K53" s="77" t="inlineStr">
        <is>
          <t>JPY</t>
        </is>
      </c>
      <c r="L53" s="78">
        <f>H53*J53</f>
        <v/>
      </c>
      <c r="M53" s="142" t="n"/>
      <c r="N53" s="142" t="n"/>
      <c r="O53" s="142" t="n"/>
      <c r="P53" s="142" t="n"/>
      <c r="Q53" s="142" t="n"/>
    </row>
    <row r="54" ht="46.5" customHeight="1">
      <c r="A54" s="69" t="n">
        <v>33</v>
      </c>
      <c r="B54" s="70" t="inlineStr">
        <is>
          <t>PO112240CCI</t>
        </is>
      </c>
      <c r="C54" s="71" t="inlineStr">
        <is>
          <t>99PRD011558</t>
        </is>
      </c>
      <c r="D54" s="72" t="inlineStr">
        <is>
          <t>ONION YELLOW MEDIUM</t>
        </is>
      </c>
      <c r="E54" s="73" t="inlineStr">
        <is>
          <t>玉ねぎ</t>
        </is>
      </c>
      <c r="F54" s="72" t="inlineStr">
        <is>
          <t>CT/20KG</t>
        </is>
      </c>
      <c r="G54" s="140" t="n"/>
      <c r="H54" s="74" t="n">
        <v>400</v>
      </c>
      <c r="I54" s="75" t="inlineStr">
        <is>
          <t>KG</t>
        </is>
      </c>
      <c r="J54" s="76" t="n">
        <v>120</v>
      </c>
      <c r="K54" s="77" t="inlineStr">
        <is>
          <t>JPY</t>
        </is>
      </c>
      <c r="L54" s="78">
        <f>H54*J54</f>
        <v/>
      </c>
      <c r="M54" s="142" t="n"/>
      <c r="N54" s="142" t="n"/>
      <c r="O54" s="142" t="n"/>
      <c r="P54" s="142" t="n"/>
      <c r="Q54" s="142" t="n"/>
    </row>
    <row r="55" ht="46.5" customHeight="1">
      <c r="A55" s="69" t="n">
        <v>34</v>
      </c>
      <c r="B55" s="70" t="inlineStr">
        <is>
          <t>PO112240CCI</t>
        </is>
      </c>
      <c r="C55" s="71" t="inlineStr">
        <is>
          <t>99PRD011560</t>
        </is>
      </c>
      <c r="D55" s="72" t="inlineStr">
        <is>
          <t>ORANGE CHOICE EXPORT 88CT/40LB</t>
        </is>
      </c>
      <c r="E55" s="73" t="inlineStr">
        <is>
          <t>オレンジ</t>
        </is>
      </c>
      <c r="F55" s="72" t="inlineStr">
        <is>
          <t>88CT/18KG</t>
        </is>
      </c>
      <c r="G55" s="140" t="n"/>
      <c r="H55" s="74" t="n">
        <v>500</v>
      </c>
      <c r="I55" s="75" t="inlineStr">
        <is>
          <t>KG</t>
        </is>
      </c>
      <c r="J55" s="76" t="n">
        <v>370</v>
      </c>
      <c r="K55" s="77" t="inlineStr">
        <is>
          <t>JPY</t>
        </is>
      </c>
      <c r="L55" s="78">
        <f>H55*J55</f>
        <v/>
      </c>
      <c r="M55" s="142" t="n"/>
      <c r="N55" s="142" t="n"/>
      <c r="O55" s="142" t="n"/>
      <c r="P55" s="142" t="n"/>
      <c r="Q55" s="142" t="n"/>
    </row>
    <row r="56" ht="46.5" customHeight="1">
      <c r="A56" s="69" t="n">
        <v>35</v>
      </c>
      <c r="B56" s="70" t="inlineStr">
        <is>
          <t>PO112240CCI</t>
        </is>
      </c>
      <c r="C56" s="71" t="inlineStr">
        <is>
          <t>99PRD011569</t>
        </is>
      </c>
      <c r="D56" s="72" t="inlineStr">
        <is>
          <t>PAPAYA LARGE CARIBBEAN</t>
        </is>
      </c>
      <c r="E56" s="73" t="inlineStr">
        <is>
          <t>黄パパイヤ</t>
        </is>
      </c>
      <c r="F56" s="72" t="inlineStr">
        <is>
          <t>8CT/5KG</t>
        </is>
      </c>
      <c r="G56" s="140" t="n"/>
      <c r="H56" s="74" t="n">
        <v>40</v>
      </c>
      <c r="I56" s="75" t="inlineStr">
        <is>
          <t>KG</t>
        </is>
      </c>
      <c r="J56" s="76" t="n">
        <v>700</v>
      </c>
      <c r="K56" s="77" t="inlineStr">
        <is>
          <t>JPY</t>
        </is>
      </c>
      <c r="L56" s="78">
        <f>H56*J56</f>
        <v/>
      </c>
      <c r="M56" s="142" t="n"/>
      <c r="N56" s="142" t="n"/>
      <c r="O56" s="142" t="n"/>
      <c r="P56" s="142" t="n"/>
      <c r="Q56" s="142" t="n"/>
    </row>
    <row r="57" ht="46.5" customHeight="1">
      <c r="A57" s="69" t="n">
        <v>36</v>
      </c>
      <c r="B57" s="70" t="inlineStr">
        <is>
          <t>PO112240CCI</t>
        </is>
      </c>
      <c r="C57" s="71" t="inlineStr">
        <is>
          <t>99PRD011642</t>
        </is>
      </c>
      <c r="D57" s="72" t="inlineStr">
        <is>
          <t>PEAS SNOW SNIPPED</t>
        </is>
      </c>
      <c r="E57" s="73" t="inlineStr">
        <is>
          <t>サヤエンドウ</t>
        </is>
      </c>
      <c r="F57" s="72" t="inlineStr">
        <is>
          <t>CT/2KG</t>
        </is>
      </c>
      <c r="G57" s="140" t="n"/>
      <c r="H57" s="74" t="n">
        <v>7</v>
      </c>
      <c r="I57" s="75" t="inlineStr">
        <is>
          <t>KG</t>
        </is>
      </c>
      <c r="J57" s="76" t="n">
        <v>2000</v>
      </c>
      <c r="K57" s="77" t="inlineStr">
        <is>
          <t>JPY</t>
        </is>
      </c>
      <c r="L57" s="78">
        <f>H57*J57</f>
        <v/>
      </c>
      <c r="M57" s="142" t="n"/>
      <c r="N57" s="142" t="n"/>
      <c r="O57" s="142" t="n"/>
      <c r="P57" s="142" t="n"/>
      <c r="Q57" s="142" t="n"/>
    </row>
    <row r="58" ht="46.5" customHeight="1">
      <c r="A58" s="69" t="n">
        <v>37</v>
      </c>
      <c r="B58" s="70" t="inlineStr">
        <is>
          <t>PO112240CCI</t>
        </is>
      </c>
      <c r="C58" s="71" t="inlineStr">
        <is>
          <t>99PRD011646</t>
        </is>
      </c>
      <c r="D58" s="72" t="inlineStr">
        <is>
          <t>PEPPER BELL GREEN CHOICE</t>
        </is>
      </c>
      <c r="E58" s="73" t="inlineStr">
        <is>
          <t>パプリカ（緑）</t>
        </is>
      </c>
      <c r="F58" s="72" t="inlineStr">
        <is>
          <t>CT/5KG</t>
        </is>
      </c>
      <c r="G58" s="140" t="n"/>
      <c r="H58" s="74" t="n">
        <v>150</v>
      </c>
      <c r="I58" s="75" t="inlineStr">
        <is>
          <t>KG</t>
        </is>
      </c>
      <c r="J58" s="76" t="n">
        <v>1000</v>
      </c>
      <c r="K58" s="77" t="inlineStr">
        <is>
          <t>JPY</t>
        </is>
      </c>
      <c r="L58" s="78">
        <f>H58*J58</f>
        <v/>
      </c>
      <c r="M58" s="142" t="n"/>
      <c r="N58" s="142" t="n"/>
      <c r="O58" s="142" t="n"/>
      <c r="P58" s="142" t="n"/>
      <c r="Q58" s="142" t="n"/>
    </row>
    <row r="59" ht="46.5" customHeight="1">
      <c r="A59" s="69" t="n">
        <v>38</v>
      </c>
      <c r="B59" s="70" t="inlineStr">
        <is>
          <t>PO112240CCI</t>
        </is>
      </c>
      <c r="C59" s="71" t="inlineStr">
        <is>
          <t>9PRD011647</t>
        </is>
      </c>
      <c r="D59" s="72" t="inlineStr">
        <is>
          <t>PEPPER BELL RED CHOICE</t>
        </is>
      </c>
      <c r="E59" s="73" t="inlineStr">
        <is>
          <t>パプリカ（赤）</t>
        </is>
      </c>
      <c r="F59" s="72" t="inlineStr">
        <is>
          <t>CT/5KG</t>
        </is>
      </c>
      <c r="G59" s="140" t="n"/>
      <c r="H59" s="74" t="n">
        <v>250</v>
      </c>
      <c r="I59" s="75" t="inlineStr">
        <is>
          <t>KG</t>
        </is>
      </c>
      <c r="J59" s="76" t="n">
        <v>900</v>
      </c>
      <c r="K59" s="77" t="inlineStr">
        <is>
          <t>JPY</t>
        </is>
      </c>
      <c r="L59" s="78">
        <f>H59*J59</f>
        <v/>
      </c>
      <c r="M59" s="142" t="n"/>
      <c r="N59" s="142" t="n"/>
      <c r="O59" s="142" t="n"/>
      <c r="P59" s="142" t="n"/>
      <c r="Q59" s="142" t="n"/>
    </row>
    <row r="60" ht="46.5" customHeight="1">
      <c r="A60" s="69" t="n">
        <v>39</v>
      </c>
      <c r="B60" s="70" t="inlineStr">
        <is>
          <t>PO112240CCI</t>
        </is>
      </c>
      <c r="C60" s="71" t="inlineStr">
        <is>
          <t>99PRD011648</t>
        </is>
      </c>
      <c r="D60" s="72" t="inlineStr">
        <is>
          <t>PEPPER BELL YELLOW CHOICE</t>
        </is>
      </c>
      <c r="E60" s="73" t="inlineStr">
        <is>
          <t>パプリカ（黄）</t>
        </is>
      </c>
      <c r="F60" s="72" t="inlineStr">
        <is>
          <t>CT/5KG</t>
        </is>
      </c>
      <c r="G60" s="140" t="n"/>
      <c r="H60" s="74" t="n">
        <v>150</v>
      </c>
      <c r="I60" s="75" t="inlineStr">
        <is>
          <t>KG</t>
        </is>
      </c>
      <c r="J60" s="76" t="n">
        <v>900</v>
      </c>
      <c r="K60" s="77" t="inlineStr">
        <is>
          <t>JPY</t>
        </is>
      </c>
      <c r="L60" s="78">
        <f>H60*J60</f>
        <v/>
      </c>
      <c r="M60" s="142" t="n"/>
      <c r="N60" s="142" t="n"/>
      <c r="O60" s="142" t="n"/>
      <c r="P60" s="142" t="n"/>
      <c r="Q60" s="142" t="n"/>
    </row>
    <row r="61" ht="46.5" customHeight="1">
      <c r="A61" s="69" t="n">
        <v>40</v>
      </c>
      <c r="B61" s="70" t="inlineStr">
        <is>
          <t>PO112240CCI</t>
        </is>
      </c>
      <c r="C61" s="71" t="inlineStr">
        <is>
          <t>99PRD011697</t>
        </is>
      </c>
      <c r="D61" s="72" t="inlineStr">
        <is>
          <t>POTATO BAKING 110CT/50LB</t>
        </is>
      </c>
      <c r="E61" s="73" t="inlineStr">
        <is>
          <t>じゃがいも（焼く用）</t>
        </is>
      </c>
      <c r="F61" s="72" t="inlineStr">
        <is>
          <t>CT/10KG</t>
        </is>
      </c>
      <c r="G61" s="140" t="n"/>
      <c r="H61" s="74" t="n">
        <v>1900</v>
      </c>
      <c r="I61" s="75" t="inlineStr">
        <is>
          <t>KG</t>
        </is>
      </c>
      <c r="J61" s="76" t="n">
        <v>360</v>
      </c>
      <c r="K61" s="77" t="inlineStr">
        <is>
          <t>JPY</t>
        </is>
      </c>
      <c r="L61" s="78">
        <f>H61*J61</f>
        <v/>
      </c>
      <c r="M61" s="142" t="n"/>
      <c r="N61" s="142" t="n"/>
      <c r="O61" s="142" t="n"/>
      <c r="P61" s="142" t="n"/>
      <c r="Q61" s="142" t="n"/>
    </row>
    <row r="62" ht="46.5" customHeight="1">
      <c r="A62" s="69" t="n">
        <v>41</v>
      </c>
      <c r="B62" s="70" t="inlineStr">
        <is>
          <t>PO112240CCI</t>
        </is>
      </c>
      <c r="C62" s="71" t="inlineStr">
        <is>
          <t>99PRD011712</t>
        </is>
      </c>
      <c r="D62" s="72" t="inlineStr">
        <is>
          <t>POTATO SWEET/YAMS GARNET MEDIUM</t>
        </is>
      </c>
      <c r="E62" s="73" t="inlineStr">
        <is>
          <t>サツマイモ</t>
        </is>
      </c>
      <c r="F62" s="72" t="inlineStr">
        <is>
          <t>CT/5KG</t>
        </is>
      </c>
      <c r="G62" s="140" t="n"/>
      <c r="H62" s="74" t="n">
        <v>50</v>
      </c>
      <c r="I62" s="75" t="inlineStr">
        <is>
          <t>KG</t>
        </is>
      </c>
      <c r="J62" s="76" t="n">
        <v>360</v>
      </c>
      <c r="K62" s="77" t="inlineStr">
        <is>
          <t>JPY</t>
        </is>
      </c>
      <c r="L62" s="78">
        <f>H62*J62</f>
        <v/>
      </c>
      <c r="M62" s="142" t="n"/>
      <c r="N62" s="142" t="n"/>
      <c r="O62" s="142" t="n"/>
      <c r="P62" s="142" t="n"/>
      <c r="Q62" s="142" t="n"/>
    </row>
    <row r="63" ht="46.5" customHeight="1">
      <c r="A63" s="69" t="n">
        <v>42</v>
      </c>
      <c r="B63" s="70" t="inlineStr">
        <is>
          <t>PO112240CCI</t>
        </is>
      </c>
      <c r="C63" s="71" t="inlineStr">
        <is>
          <t>99PRD012008</t>
        </is>
      </c>
      <c r="D63" s="72" t="inlineStr">
        <is>
          <t>SQUASH YELLOW STRAIGHT NECK MEDIUM</t>
        </is>
      </c>
      <c r="E63" s="73" t="inlineStr">
        <is>
          <t>ズッキーニ（黄）</t>
        </is>
      </c>
      <c r="F63" s="72" t="inlineStr">
        <is>
          <t>CT/2KG</t>
        </is>
      </c>
      <c r="G63" s="140" t="n"/>
      <c r="H63" s="74" t="n">
        <v>150</v>
      </c>
      <c r="I63" s="75" t="inlineStr">
        <is>
          <t>KG</t>
        </is>
      </c>
      <c r="J63" s="76" t="n">
        <v>1100</v>
      </c>
      <c r="K63" s="77" t="inlineStr">
        <is>
          <t>JPY</t>
        </is>
      </c>
      <c r="L63" s="78">
        <f>H63*J63</f>
        <v/>
      </c>
      <c r="M63" s="142" t="n"/>
      <c r="N63" s="142" t="n"/>
      <c r="O63" s="142" t="n"/>
      <c r="P63" s="142" t="n"/>
      <c r="Q63" s="142" t="n"/>
    </row>
    <row r="64" ht="46.5" customHeight="1">
      <c r="A64" s="69" t="n">
        <v>43</v>
      </c>
      <c r="B64" s="70" t="inlineStr">
        <is>
          <t>PO112240CCI</t>
        </is>
      </c>
      <c r="C64" s="71" t="inlineStr">
        <is>
          <t>99PRD012010</t>
        </is>
      </c>
      <c r="D64" s="72" t="inlineStr">
        <is>
          <t>SQUASH ZUCCHINI GREEN MEDIUM #1</t>
        </is>
      </c>
      <c r="E64" s="73" t="inlineStr">
        <is>
          <t>ズッキーニ（緑）</t>
        </is>
      </c>
      <c r="F64" s="72" t="inlineStr">
        <is>
          <t>CT/2KG</t>
        </is>
      </c>
      <c r="G64" s="140" t="n"/>
      <c r="H64" s="74" t="n">
        <v>50</v>
      </c>
      <c r="I64" s="75" t="inlineStr">
        <is>
          <t>KG</t>
        </is>
      </c>
      <c r="J64" s="76" t="n">
        <v>550</v>
      </c>
      <c r="K64" s="77" t="inlineStr">
        <is>
          <t>JPY</t>
        </is>
      </c>
      <c r="L64" s="78">
        <f>H64*J64</f>
        <v/>
      </c>
      <c r="M64" s="142" t="n"/>
      <c r="N64" s="142" t="n"/>
      <c r="O64" s="142" t="n"/>
      <c r="P64" s="142" t="n"/>
      <c r="Q64" s="142" t="n"/>
    </row>
    <row r="65" ht="46.5" customHeight="1">
      <c r="A65" s="69" t="n">
        <v>44</v>
      </c>
      <c r="B65" s="70" t="inlineStr">
        <is>
          <t>PO112240CCI</t>
        </is>
      </c>
      <c r="C65" s="71" t="inlineStr">
        <is>
          <t>99PRD012068</t>
        </is>
      </c>
      <c r="D65" s="72" t="inlineStr">
        <is>
          <t>TOMATO 6 X 6 BULK PACK RED</t>
        </is>
      </c>
      <c r="E65" s="73" t="inlineStr">
        <is>
          <t>トマト</t>
        </is>
      </c>
      <c r="F65" s="72" t="inlineStr">
        <is>
          <t>ct/4kg</t>
        </is>
      </c>
      <c r="G65" s="140" t="n"/>
      <c r="H65" s="74" t="n">
        <v>600</v>
      </c>
      <c r="I65" s="75" t="inlineStr">
        <is>
          <t>KG</t>
        </is>
      </c>
      <c r="J65" s="76" t="n">
        <v>450</v>
      </c>
      <c r="K65" s="77" t="inlineStr">
        <is>
          <t>JPY</t>
        </is>
      </c>
      <c r="L65" s="78">
        <f>H65*J65</f>
        <v/>
      </c>
      <c r="M65" s="142" t="n"/>
      <c r="N65" s="142" t="n"/>
      <c r="O65" s="142" t="n"/>
      <c r="P65" s="142" t="n"/>
      <c r="Q65" s="142" t="n"/>
    </row>
    <row r="66" ht="46.5" customHeight="1">
      <c r="A66" s="69" t="n">
        <v>45</v>
      </c>
      <c r="B66" s="70" t="inlineStr">
        <is>
          <t>PO112240CCI</t>
        </is>
      </c>
      <c r="C66" s="71" t="inlineStr">
        <is>
          <t>99PRD24469</t>
        </is>
      </c>
      <c r="D66" s="72" t="inlineStr">
        <is>
          <t>PINEAPPLE GOLDEN 5-6CT/25LB</t>
        </is>
      </c>
      <c r="E66" s="73" t="inlineStr">
        <is>
          <t>ゴールデン　パイナップル　5～6個/25LB</t>
        </is>
      </c>
      <c r="F66" s="72" t="inlineStr">
        <is>
          <t>5-6CT/12KG</t>
        </is>
      </c>
      <c r="G66" s="140" t="n"/>
      <c r="H66" s="74" t="n">
        <v>500</v>
      </c>
      <c r="I66" s="75" t="inlineStr">
        <is>
          <t>KG</t>
        </is>
      </c>
      <c r="J66" s="76" t="n">
        <v>280</v>
      </c>
      <c r="K66" s="77" t="inlineStr">
        <is>
          <t>JPY</t>
        </is>
      </c>
      <c r="L66" s="78">
        <f>H66*J66</f>
        <v/>
      </c>
      <c r="M66" s="142" t="n"/>
      <c r="N66" s="142" t="n"/>
      <c r="O66" s="142" t="n"/>
      <c r="P66" s="142" t="n"/>
      <c r="Q66" s="142" t="n"/>
    </row>
    <row r="67" ht="46.5" customHeight="1">
      <c r="A67" s="69" t="n">
        <v>46</v>
      </c>
      <c r="B67" s="70" t="inlineStr">
        <is>
          <t>PO112240CCI</t>
        </is>
      </c>
      <c r="C67" s="71" t="inlineStr">
        <is>
          <t>99PRD24612</t>
        </is>
      </c>
      <c r="D67" s="72" t="inlineStr">
        <is>
          <t>MUSHROOM ENOKI</t>
        </is>
      </c>
      <c r="E67" s="73" t="inlineStr">
        <is>
          <t>エノキ</t>
        </is>
      </c>
      <c r="F67" s="72" t="inlineStr">
        <is>
          <t>30CT/6KG</t>
        </is>
      </c>
      <c r="G67" s="140" t="n"/>
      <c r="H67" s="74" t="n">
        <v>20</v>
      </c>
      <c r="I67" s="75" t="inlineStr">
        <is>
          <t>KG</t>
        </is>
      </c>
      <c r="J67" s="76" t="n">
        <v>386</v>
      </c>
      <c r="K67" s="77" t="inlineStr">
        <is>
          <t>JPY</t>
        </is>
      </c>
      <c r="L67" s="78">
        <f>H67*J67</f>
        <v/>
      </c>
      <c r="M67" s="142" t="n"/>
      <c r="N67" s="142" t="n"/>
      <c r="O67" s="142" t="n"/>
      <c r="P67" s="142" t="n"/>
      <c r="Q67" s="142" t="n"/>
    </row>
    <row r="68" ht="46.5" customHeight="1">
      <c r="A68" s="69" t="n">
        <v>47</v>
      </c>
      <c r="B68" s="70" t="inlineStr">
        <is>
          <t>PO112240CCI</t>
        </is>
      </c>
      <c r="C68" s="71" t="inlineStr">
        <is>
          <t>99PRD24664</t>
        </is>
      </c>
      <c r="D68" s="72" t="inlineStr">
        <is>
          <t>EGGPLANT JAPANESE</t>
        </is>
      </c>
      <c r="E68" s="73" t="inlineStr">
        <is>
          <t>日本なす</t>
        </is>
      </c>
      <c r="F68" s="72" t="inlineStr">
        <is>
          <t>CT/5KG</t>
        </is>
      </c>
      <c r="G68" s="140" t="n"/>
      <c r="H68" s="74" t="n">
        <v>20</v>
      </c>
      <c r="I68" s="75" t="inlineStr">
        <is>
          <t>KG</t>
        </is>
      </c>
      <c r="J68" s="76" t="n">
        <v>400</v>
      </c>
      <c r="K68" s="77" t="inlineStr">
        <is>
          <t>JPY</t>
        </is>
      </c>
      <c r="L68" s="78">
        <f>H68*J68</f>
        <v/>
      </c>
      <c r="M68" s="142" t="n"/>
      <c r="N68" s="142" t="n"/>
      <c r="O68" s="142" t="n"/>
      <c r="P68" s="142" t="n"/>
      <c r="Q68" s="142" t="n"/>
    </row>
    <row r="69" ht="46.5" customHeight="1">
      <c r="A69" s="69" t="n">
        <v>48</v>
      </c>
      <c r="B69" s="70" t="inlineStr">
        <is>
          <t>PO112240CCI</t>
        </is>
      </c>
      <c r="C69" s="71" t="inlineStr">
        <is>
          <t>99PRD26675</t>
        </is>
      </c>
      <c r="D69" s="72" t="inlineStr">
        <is>
          <t>GARLIC WHOLE PEELED #2</t>
        </is>
      </c>
      <c r="E69" s="73" t="inlineStr">
        <is>
          <t>ニンニク　かわなし　粒</t>
        </is>
      </c>
      <c r="F69" s="72" t="inlineStr">
        <is>
          <t>CT/10KG</t>
        </is>
      </c>
      <c r="G69" s="140" t="n"/>
      <c r="H69" s="74" t="n">
        <v>150</v>
      </c>
      <c r="I69" s="75" t="inlineStr">
        <is>
          <t>KG</t>
        </is>
      </c>
      <c r="J69" s="76" t="n">
        <v>520</v>
      </c>
      <c r="K69" s="77" t="inlineStr">
        <is>
          <t>JPY</t>
        </is>
      </c>
      <c r="L69" s="78">
        <f>H69*J69</f>
        <v/>
      </c>
      <c r="M69" s="142" t="n"/>
      <c r="N69" s="142" t="n"/>
      <c r="O69" s="142" t="n"/>
      <c r="P69" s="142" t="n"/>
      <c r="Q69" s="142" t="n"/>
    </row>
    <row r="70" ht="46.5" customHeight="1">
      <c r="A70" s="69" t="n">
        <v>49</v>
      </c>
      <c r="B70" s="70" t="inlineStr">
        <is>
          <t>PO112240CCI</t>
        </is>
      </c>
      <c r="C70" s="71" t="inlineStr">
        <is>
          <t>99PRD47641</t>
        </is>
      </c>
      <c r="D70" s="72" t="inlineStr">
        <is>
          <t>BEET GOLD LARGE 25LB</t>
        </is>
      </c>
      <c r="E70" s="73" t="inlineStr">
        <is>
          <t>ゴールド　ビーツ</t>
        </is>
      </c>
      <c r="F70" s="72" t="inlineStr">
        <is>
          <t>6-10ct/10kg</t>
        </is>
      </c>
      <c r="G70" s="140" t="n"/>
      <c r="H70" s="74" t="n">
        <v>10</v>
      </c>
      <c r="I70" s="75" t="inlineStr">
        <is>
          <t>KG</t>
        </is>
      </c>
      <c r="J70" s="76" t="n">
        <v>842</v>
      </c>
      <c r="K70" s="77" t="inlineStr">
        <is>
          <t>JPY</t>
        </is>
      </c>
      <c r="L70" s="78">
        <f>H70*J70</f>
        <v/>
      </c>
      <c r="M70" s="142" t="n"/>
      <c r="N70" s="142" t="n"/>
      <c r="O70" s="142" t="n"/>
      <c r="P70" s="142" t="n"/>
      <c r="Q70" s="142" t="n"/>
    </row>
    <row r="71" ht="46.5" customHeight="1">
      <c r="A71" s="69" t="n">
        <v>50</v>
      </c>
      <c r="B71" s="70" t="inlineStr">
        <is>
          <t>PO112240CCI</t>
        </is>
      </c>
      <c r="C71" s="71" t="inlineStr">
        <is>
          <t>99PRD51974</t>
        </is>
      </c>
      <c r="D71" s="72" t="inlineStr">
        <is>
          <t>BANANA STAGE 3 PREMIUM 90-100CT/40LB</t>
        </is>
      </c>
      <c r="E71" s="73" t="inlineStr">
        <is>
          <t>バナナステージ３プレミアム</t>
        </is>
      </c>
      <c r="F71" s="72" t="inlineStr">
        <is>
          <t>28ct/15kg</t>
        </is>
      </c>
      <c r="G71" s="140" t="n"/>
      <c r="H71" s="74" t="n">
        <v>1000</v>
      </c>
      <c r="I71" s="75" t="inlineStr">
        <is>
          <t>KG</t>
        </is>
      </c>
      <c r="J71" s="76" t="n">
        <v>250</v>
      </c>
      <c r="K71" s="77" t="inlineStr">
        <is>
          <t>JPY</t>
        </is>
      </c>
      <c r="L71" s="78">
        <f>H71*J71</f>
        <v/>
      </c>
      <c r="M71" s="142" t="n"/>
      <c r="N71" s="142" t="n"/>
      <c r="O71" s="142" t="n"/>
      <c r="P71" s="142" t="n"/>
      <c r="Q71" s="142" t="n"/>
    </row>
    <row r="72" ht="46.5" customHeight="1">
      <c r="A72" s="91" t="n"/>
      <c r="B72" s="92" t="inlineStr">
        <is>
          <t>PO20260321</t>
        </is>
      </c>
      <c r="C72" s="93" t="inlineStr">
        <is>
          <t>99PRD021100</t>
        </is>
      </c>
      <c r="D72" s="94" t="inlineStr">
        <is>
          <t>SPINACH BABY WASHED</t>
        </is>
      </c>
      <c r="E72" s="92" t="inlineStr">
        <is>
          <t>ベビーほうれん草 洗浄済</t>
        </is>
      </c>
      <c r="F72" s="92" t="inlineStr">
        <is>
          <t>250G/BAG</t>
        </is>
      </c>
      <c r="G72" s="92" t="n"/>
      <c r="H72" s="91" t="n"/>
      <c r="I72" s="95" t="inlineStr">
        <is>
          <t>CT</t>
        </is>
      </c>
      <c r="J72" s="143" t="n"/>
      <c r="K72" s="97" t="inlineStr">
        <is>
          <t>JPY</t>
        </is>
      </c>
      <c r="L72" s="98">
        <f>SUM(L22:L71)</f>
        <v/>
      </c>
      <c r="M72" s="125" t="n"/>
      <c r="N72" s="125" t="n"/>
      <c r="O72" s="125" t="n"/>
      <c r="P72" s="125" t="n"/>
      <c r="Q72" s="125" t="n"/>
    </row>
    <row r="73" ht="46.5" customHeight="1">
      <c r="A73" s="91" t="n"/>
      <c r="B73" s="99" t="inlineStr">
        <is>
          <t>PO20260321</t>
        </is>
      </c>
      <c r="C73" s="99" t="inlineStr">
        <is>
          <t>99PRD021211</t>
        </is>
      </c>
      <c r="D73" s="99" t="inlineStr">
        <is>
          <t>STRAWBERRY FRESH PREMIUM</t>
        </is>
      </c>
      <c r="E73" s="99" t="inlineStr">
        <is>
          <t>いちご プレミアム</t>
        </is>
      </c>
      <c r="F73" s="99" t="inlineStr">
        <is>
          <t>250G/PKT</t>
        </is>
      </c>
      <c r="G73" s="99" t="n"/>
      <c r="H73" s="91" t="n"/>
      <c r="I73" s="100" t="inlineStr">
        <is>
          <t>CT</t>
        </is>
      </c>
      <c r="J73" s="140" t="n"/>
      <c r="K73" s="77" t="inlineStr">
        <is>
          <t>JPY</t>
        </is>
      </c>
      <c r="L73" s="78">
        <f>L72*0.08</f>
        <v/>
      </c>
      <c r="M73" s="125" t="n"/>
      <c r="N73" s="125" t="n"/>
      <c r="O73" s="125" t="n"/>
      <c r="P73" s="125" t="n"/>
      <c r="Q73" s="125" t="n"/>
    </row>
    <row r="74" ht="46.5" customHeight="1">
      <c r="A74" s="101" t="n"/>
      <c r="B74" s="99" t="n"/>
      <c r="C74" s="99" t="n"/>
      <c r="D74" s="99" t="n"/>
      <c r="E74" s="99" t="n"/>
      <c r="F74" s="99" t="n"/>
      <c r="G74" s="99" t="n"/>
      <c r="H74" s="101" t="n"/>
      <c r="I74" s="102" t="inlineStr">
        <is>
          <t>GRAND TOTAL</t>
        </is>
      </c>
      <c r="J74" s="140" t="n"/>
      <c r="K74" s="77" t="inlineStr">
        <is>
          <t>JPY</t>
        </is>
      </c>
      <c r="L74" s="78">
        <f>+L72+L73</f>
        <v/>
      </c>
      <c r="M74" s="125" t="n"/>
      <c r="N74" s="125" t="n"/>
      <c r="O74" s="125" t="n"/>
      <c r="P74" s="125" t="n"/>
      <c r="Q74" s="125" t="n"/>
    </row>
    <row r="75" ht="46.5" customHeight="1">
      <c r="A75" s="101" t="n"/>
      <c r="B75" s="99" t="n"/>
      <c r="C75" s="99" t="n"/>
      <c r="D75" s="99" t="n"/>
      <c r="E75" s="99" t="n"/>
      <c r="F75" s="99" t="n"/>
      <c r="G75" s="99" t="n"/>
      <c r="H75" s="101" t="n"/>
      <c r="I75" s="103" t="n"/>
      <c r="J75" s="104" t="n"/>
      <c r="K75" s="105" t="n"/>
      <c r="L75" s="106" t="n"/>
      <c r="M75" s="125" t="n"/>
      <c r="N75" s="125" t="n"/>
      <c r="O75" s="125" t="n"/>
      <c r="P75" s="125" t="n"/>
      <c r="Q75" s="125" t="n"/>
    </row>
    <row r="76" ht="46.5" customHeight="1">
      <c r="A76" s="107" t="inlineStr">
        <is>
          <t>THANK YOU FOR YOUR BUSINESS!</t>
        </is>
      </c>
      <c r="M76" s="125" t="n"/>
      <c r="N76" s="125" t="n"/>
      <c r="O76" s="125" t="n"/>
      <c r="P76" s="125" t="n"/>
      <c r="Q76" s="125" t="n"/>
    </row>
    <row r="77" ht="46.5" customHeight="1">
      <c r="A77" s="101" t="n"/>
      <c r="B77" s="108" t="n"/>
      <c r="C77" s="109" t="n"/>
      <c r="D77" s="12" t="n"/>
      <c r="E77" s="12" t="n"/>
      <c r="F77" s="12" t="n"/>
      <c r="G77" s="12" t="n"/>
      <c r="H77" s="13" t="n"/>
      <c r="I77" s="12" t="n"/>
      <c r="J77" s="13" t="n"/>
      <c r="K77" s="12" t="n"/>
      <c r="L77" s="13" t="n"/>
      <c r="M77" s="125" t="n"/>
      <c r="N77" s="125" t="n"/>
      <c r="O77" s="125" t="n"/>
      <c r="P77" s="125" t="n"/>
      <c r="Q77" s="125" t="n"/>
    </row>
    <row r="78" ht="46.5" customHeight="1">
      <c r="A78" s="101" t="n"/>
      <c r="B78" s="108" t="n"/>
      <c r="C78" s="109" t="n"/>
      <c r="D78" s="12" t="n"/>
      <c r="E78" s="12" t="n"/>
      <c r="F78" s="12" t="n"/>
      <c r="G78" s="12" t="n"/>
      <c r="H78" s="13" t="n"/>
      <c r="I78" s="12" t="n"/>
      <c r="J78" s="13" t="n"/>
      <c r="K78" s="12" t="n"/>
      <c r="L78" s="13" t="n"/>
      <c r="M78" s="125" t="n"/>
      <c r="N78" s="125" t="n"/>
      <c r="O78" s="125" t="n"/>
      <c r="P78" s="125" t="n"/>
      <c r="Q78" s="125" t="n"/>
    </row>
    <row r="79" ht="46.5" customHeight="1">
      <c r="A79" s="101" t="n"/>
      <c r="B79" s="108" t="n"/>
      <c r="C79" s="109" t="n"/>
      <c r="D79" s="12" t="n"/>
      <c r="E79" s="110" t="n"/>
      <c r="F79" s="110" t="n"/>
      <c r="G79" s="108" t="n"/>
      <c r="H79" s="104" t="n"/>
      <c r="I79" s="103" t="n"/>
      <c r="J79" s="104" t="n"/>
      <c r="K79" s="111" t="n"/>
      <c r="L79" s="104" t="n"/>
      <c r="M79" s="125" t="n"/>
      <c r="N79" s="125" t="n"/>
      <c r="O79" s="125" t="n"/>
      <c r="P79" s="125" t="n"/>
      <c r="Q79" s="125" t="n"/>
    </row>
    <row r="80" ht="46.5" customHeight="1">
      <c r="A80" s="101" t="n"/>
      <c r="B80" s="108" t="n"/>
      <c r="C80" s="109" t="n"/>
      <c r="D80" s="12" t="n"/>
      <c r="E80" s="12" t="n"/>
      <c r="F80" s="12" t="n"/>
      <c r="G80" s="12" t="n"/>
      <c r="H80" s="13" t="n"/>
      <c r="I80" s="12" t="n"/>
      <c r="J80" s="13" t="n"/>
      <c r="K80" s="12" t="n"/>
      <c r="L80" s="13" t="n"/>
      <c r="M80" s="125" t="n"/>
      <c r="N80" s="125" t="n"/>
      <c r="O80" s="125" t="n"/>
      <c r="P80" s="125" t="n"/>
      <c r="Q80" s="112" t="n"/>
    </row>
    <row r="81" ht="46.5" customHeight="1">
      <c r="A81" s="101" t="n"/>
      <c r="B81" s="108" t="n"/>
      <c r="C81" s="109" t="n"/>
      <c r="D81" s="12" t="n"/>
      <c r="E81" s="12" t="n"/>
      <c r="F81" s="12" t="n"/>
      <c r="G81" s="12" t="n"/>
      <c r="H81" s="13" t="n"/>
      <c r="I81" s="12" t="n"/>
      <c r="J81" s="13" t="n"/>
      <c r="K81" s="12" t="n"/>
      <c r="L81" s="13" t="n"/>
      <c r="M81" s="125" t="n"/>
      <c r="N81" s="125" t="n"/>
      <c r="O81" s="125" t="n"/>
      <c r="P81" s="125" t="n"/>
      <c r="Q81" s="125" t="n"/>
    </row>
    <row r="82" ht="46.5" customHeight="1">
      <c r="A82" s="113" t="n"/>
      <c r="B82" s="114" t="n"/>
      <c r="C82" s="114" t="n"/>
      <c r="D82" s="114" t="n"/>
      <c r="E82" s="114" t="n"/>
      <c r="F82" s="114" t="n"/>
      <c r="G82" s="114" t="n"/>
      <c r="H82" s="115" t="n"/>
      <c r="I82" s="116" t="n"/>
      <c r="J82" s="113" t="n"/>
      <c r="K82" s="114" t="n"/>
      <c r="L82" s="113" t="n"/>
      <c r="M82" s="125" t="n"/>
      <c r="N82" s="125" t="n"/>
      <c r="O82" s="125" t="n"/>
      <c r="P82" s="125" t="n"/>
      <c r="Q82" s="125" t="n"/>
    </row>
    <row r="83" ht="46.5" customHeight="1">
      <c r="A83" s="124" t="n"/>
      <c r="B83" s="125" t="n"/>
      <c r="C83" s="125" t="n"/>
      <c r="D83" s="125" t="n"/>
      <c r="E83" s="125" t="n"/>
      <c r="F83" s="125" t="n"/>
      <c r="G83" s="125" t="n"/>
      <c r="H83" s="124" t="n"/>
      <c r="I83" s="125" t="n"/>
      <c r="J83" s="126" t="n"/>
      <c r="K83" s="127" t="n"/>
      <c r="L83" s="124" t="n"/>
      <c r="M83" s="125" t="n"/>
      <c r="N83" s="125" t="n"/>
      <c r="O83" s="125" t="n"/>
      <c r="P83" s="125" t="n"/>
      <c r="Q83" s="125" t="n"/>
    </row>
    <row r="84" ht="46.5" customHeight="1">
      <c r="A84" s="124" t="n"/>
      <c r="B84" s="125" t="n"/>
      <c r="C84" s="120" t="n"/>
      <c r="D84" s="120" t="n"/>
      <c r="E84" s="125" t="n"/>
      <c r="F84" s="125" t="n"/>
      <c r="G84" s="125" t="n"/>
      <c r="H84" s="124" t="n"/>
      <c r="I84" s="125" t="n"/>
      <c r="J84" s="126" t="n"/>
      <c r="K84" s="127" t="n"/>
      <c r="L84" s="124" t="n"/>
      <c r="M84" s="125" t="n"/>
      <c r="N84" s="125" t="n"/>
      <c r="O84" s="125" t="n"/>
      <c r="P84" s="125" t="n"/>
      <c r="Q84" s="125" t="n"/>
    </row>
    <row r="85" ht="46.5" customHeight="1">
      <c r="A85" s="124" t="n"/>
      <c r="B85" s="125" t="n"/>
      <c r="C85" s="120" t="n"/>
      <c r="D85" s="120" t="n"/>
      <c r="E85" s="125" t="n"/>
      <c r="F85" s="125" t="n"/>
      <c r="G85" s="125" t="n"/>
      <c r="H85" s="124" t="n"/>
      <c r="I85" s="125" t="n"/>
      <c r="J85" s="121" t="n"/>
      <c r="K85" s="122" t="n"/>
      <c r="L85" s="123" t="n"/>
      <c r="M85" s="125" t="n"/>
      <c r="N85" s="125" t="n"/>
      <c r="O85" s="125" t="n"/>
      <c r="P85" s="125" t="n"/>
      <c r="Q85" s="125" t="n"/>
    </row>
    <row r="86" ht="46.5" customHeight="1"/>
    <row r="87" ht="46.5" customHeight="1"/>
    <row r="88" ht="46.5" customHeight="1"/>
    <row r="89" ht="46.5" customHeight="1"/>
    <row r="90" ht="46.5" customHeight="1"/>
    <row r="91" ht="46.5" customHeight="1"/>
    <row r="92" ht="46.5" customHeight="1"/>
    <row r="93" ht="46.5" customHeight="1"/>
    <row r="94" ht="46.5" customHeight="1"/>
    <row r="95" ht="46.5" customHeight="1"/>
    <row r="96" ht="46.5" customHeight="1"/>
    <row r="97" ht="46.5" customHeight="1"/>
    <row r="98" ht="46.5" customHeight="1"/>
    <row r="99" ht="46.5" customHeight="1"/>
    <row r="100" ht="46.5" customHeight="1"/>
    <row r="101" ht="46.5" customHeight="1"/>
    <row r="102" ht="46.5" customHeight="1"/>
    <row r="103" ht="46.5" customHeight="1"/>
    <row r="104" ht="46.5" customHeight="1"/>
    <row r="105" ht="46.5" customHeight="1"/>
    <row r="106" ht="46.5" customHeight="1"/>
    <row r="107" ht="46.5" customHeight="1"/>
    <row r="108" ht="46.5" customHeight="1"/>
    <row r="109" ht="46.5" customHeight="1"/>
    <row r="110" ht="46.5" customHeight="1"/>
    <row r="111" ht="46.5" customHeight="1"/>
    <row r="112" ht="46.5" customHeight="1"/>
    <row r="113" ht="46.5" customHeight="1"/>
    <row r="114" ht="46.5" customHeight="1"/>
    <row r="115" ht="46.5" customHeight="1"/>
    <row r="116" ht="46.5" customHeight="1"/>
    <row r="117" ht="46.5" customHeight="1"/>
    <row r="118" ht="46.5" customHeight="1"/>
    <row r="119" ht="46.5" customHeight="1"/>
    <row r="120" ht="46.5" customHeight="1"/>
    <row r="121" ht="46.5" customHeight="1"/>
  </sheetData>
  <mergeCells count="24">
    <mergeCell ref="H20:I20"/>
    <mergeCell ref="K21:L21"/>
    <mergeCell ref="J7:L7"/>
    <mergeCell ref="H9:L9"/>
    <mergeCell ref="A2:L2"/>
    <mergeCell ref="F16:G18"/>
    <mergeCell ref="F21:G21"/>
    <mergeCell ref="K20:L20"/>
    <mergeCell ref="H21:I21"/>
    <mergeCell ref="H13:J13"/>
    <mergeCell ref="F20:G20"/>
    <mergeCell ref="H16:J18"/>
    <mergeCell ref="F8:G8"/>
    <mergeCell ref="H15:J15"/>
    <mergeCell ref="H7:I7"/>
    <mergeCell ref="H8:J8"/>
    <mergeCell ref="K6:L6"/>
    <mergeCell ref="A20:A21"/>
    <mergeCell ref="B20:B21"/>
    <mergeCell ref="F9:G9"/>
    <mergeCell ref="A1:L1"/>
    <mergeCell ref="H5:I5"/>
    <mergeCell ref="K4:L4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2025-08-06T02:54:15Z</dcterms:created>
  <dcterms:modified xmlns:dcterms="http://purl.org/dc/terms/" xmlns:xsi="http://www.w3.org/2001/XMLSchema-instance" xsi:type="dcterms:W3CDTF">2026-03-24T06:29:48Z</dcterms:modified>
</cp:coreProperties>
</file>