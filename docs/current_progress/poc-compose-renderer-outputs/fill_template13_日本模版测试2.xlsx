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0804発注書 (ML)" sheetId="1" state="visible" r:id="rId1"/>
  </sheets>
  <definedNames>
    <definedName name="_xlnm.Print_Area" localSheetId="0">'0804発注書 (ML)'!$A$1:$L$37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9">
    <font>
      <name val="Calibri"/>
      <family val="2"/>
      <color theme="1"/>
      <sz val="11"/>
      <scheme val="minor"/>
    </font>
    <font>
      <name val="SimSun"/>
      <family val="2"/>
      <b val="1"/>
      <color rgb="FF000000"/>
      <sz val="48"/>
    </font>
    <font>
      <name val="Aptos Narrow"/>
      <family val="2"/>
      <color rgb="FF000000"/>
      <sz val="11"/>
    </font>
    <font>
      <name val="Aptos Narrow"/>
      <family val="2"/>
      <color theme="1"/>
      <sz val="11"/>
    </font>
    <font>
      <name val="Times New Roman"/>
      <family val="2"/>
      <b val="1"/>
      <color theme="1"/>
      <sz val="24"/>
    </font>
    <font>
      <name val="Times New Roman"/>
      <family val="2"/>
      <b val="1"/>
      <color rgb="FFffffff"/>
      <sz val="26"/>
    </font>
    <font>
      <name val="宋体"/>
      <family val="2"/>
      <color theme="1"/>
      <sz val="16"/>
    </font>
    <font>
      <name val="宋体"/>
      <family val="2"/>
      <color theme="1"/>
      <sz val="12"/>
    </font>
    <font>
      <name val="HGPｺﾞｼｯｸM"/>
      <family val="2"/>
      <color theme="1"/>
      <sz val="12"/>
    </font>
    <font>
      <name val="宋体"/>
      <family val="2"/>
      <color theme="1"/>
      <sz val="11"/>
    </font>
    <font>
      <name val="宋体"/>
      <family val="2"/>
      <b val="1"/>
      <color theme="1"/>
      <sz val="10"/>
    </font>
    <font>
      <name val="游ゴシック"/>
      <family val="2"/>
      <color theme="1"/>
      <sz val="12"/>
    </font>
    <font>
      <name val="HGPｺﾞｼｯｸM"/>
      <family val="2"/>
      <b val="1"/>
      <color theme="1"/>
      <sz val="12"/>
    </font>
    <font>
      <name val="宋体"/>
      <family val="2"/>
      <color theme="1"/>
      <sz val="10"/>
    </font>
    <font>
      <name val="HGPｺﾞｼｯｸM"/>
      <family val="2"/>
      <color rgb="FF000000"/>
      <sz val="12"/>
    </font>
    <font>
      <name val="Aptos Narrow"/>
      <family val="2"/>
      <color rgb="FF000000"/>
      <sz val="11"/>
      <u val="single"/>
    </font>
    <font>
      <name val="宋体"/>
      <family val="2"/>
      <b val="1"/>
      <color theme="1"/>
      <sz val="11"/>
      <u val="single"/>
    </font>
    <font>
      <name val="HGPｺﾞｼｯｸM"/>
      <family val="2"/>
      <b val="1"/>
      <color rgb="FF000000"/>
      <sz val="16"/>
      <u val="single"/>
    </font>
    <font>
      <name val="HGPｺﾞｼｯｸM"/>
      <family val="2"/>
      <b val="1"/>
      <color rgb="FF000000"/>
      <sz val="11"/>
    </font>
    <font>
      <name val="HGPｺﾞｼｯｸM"/>
      <family val="2"/>
      <color rgb="FF000000"/>
      <sz val="11"/>
    </font>
    <font>
      <name val="HGPｺﾞｼｯｸM"/>
      <family val="2"/>
      <color theme="1"/>
      <sz val="12"/>
      <u val="single"/>
    </font>
    <font>
      <name val="HGPｺﾞｼｯｸM"/>
      <family val="2"/>
      <color rgb="FF000000"/>
      <sz val="12"/>
      <u val="single"/>
    </font>
    <font>
      <name val="HGPｺﾞｼｯｸM"/>
      <family val="2"/>
      <color rgb="FF000000"/>
      <sz val="14"/>
    </font>
    <font>
      <name val="Malgun Gothic"/>
      <family val="2"/>
      <color theme="1"/>
      <sz val="12"/>
    </font>
    <font>
      <name val="Calibri"/>
      <family val="2"/>
      <color theme="1"/>
      <sz val="11"/>
    </font>
    <font>
      <name val="宋体"/>
      <family val="2"/>
      <b val="1"/>
      <color theme="1"/>
      <sz val="18"/>
    </font>
    <font>
      <name val="宋体"/>
      <family val="2"/>
      <color rgb="FF000000"/>
      <sz val="22"/>
      <u val="single"/>
    </font>
    <font>
      <name val="Aptos Display"/>
      <family val="2"/>
      <b val="1"/>
      <color theme="1"/>
      <sz val="11"/>
    </font>
    <font>
      <name val="Aptos Display"/>
      <family val="2"/>
      <b val="1"/>
      <color theme="1"/>
      <sz val="12"/>
    </font>
    <font>
      <name val="Aptos Display"/>
      <family val="2"/>
      <b val="1"/>
      <color theme="1"/>
      <sz val="9"/>
    </font>
    <font>
      <name val="Calibri"/>
      <family val="2"/>
      <color theme="1"/>
      <sz val="14"/>
    </font>
    <font>
      <name val="Calibri"/>
      <family val="2"/>
      <color theme="1"/>
      <sz val="12"/>
    </font>
    <font>
      <name val="Calibri"/>
      <family val="2"/>
      <color rgb="FF000000"/>
      <sz val="12"/>
    </font>
    <font>
      <name val="HGPｺﾞｼｯｸM"/>
      <family val="2"/>
      <color theme="1"/>
      <sz val="11"/>
    </font>
    <font>
      <name val="Calibri"/>
      <family val="2"/>
      <b val="1"/>
      <color rgb="FF000000"/>
      <sz val="14"/>
    </font>
    <font>
      <name val="Calibri"/>
      <family val="2"/>
      <b val="1"/>
      <color theme="1"/>
      <sz val="14"/>
    </font>
    <font>
      <name val="HGPｺﾞｼｯｸM"/>
      <family val="2"/>
      <b val="1"/>
      <color theme="1"/>
      <sz val="11"/>
    </font>
    <font>
      <name val="Calibri"/>
      <family val="2"/>
      <color rgb="FF000000"/>
      <sz val="11"/>
    </font>
    <font>
      <name val="Aptos Narrow"/>
      <family val="2"/>
      <color theme="1"/>
      <sz val="8"/>
    </font>
    <font>
      <name val="Aptos Narrow"/>
      <family val="2"/>
      <color theme="1"/>
      <sz val="7"/>
    </font>
    <font>
      <name val="宋体"/>
      <family val="2"/>
      <color rgb="FF000000"/>
      <sz val="14"/>
    </font>
    <font>
      <name val="Aptos Narrow"/>
      <family val="2"/>
      <b val="1"/>
      <color theme="1"/>
      <sz val="14"/>
    </font>
    <font>
      <name val="宋体"/>
      <family val="2"/>
      <color theme="1"/>
      <sz val="14"/>
    </font>
    <font>
      <name val="HGPｺﾞｼｯｸM"/>
      <family val="2"/>
      <color theme="1"/>
      <sz val="18"/>
    </font>
    <font>
      <name val="ＭＳ Ｐゴシック"/>
      <family val="2"/>
      <color rgb="FF000000"/>
      <sz val="11"/>
    </font>
    <font>
      <name val="Aptos Narrow"/>
      <family val="2"/>
      <color rgb="FF000000"/>
      <sz val="18"/>
    </font>
    <font>
      <name val="Aptos Narrow"/>
      <family val="2"/>
      <color theme="1"/>
      <sz val="18"/>
    </font>
    <font>
      <name val="ＭＳ Ｐゴシック"/>
      <family val="2"/>
      <color rgb="FF000000"/>
      <sz val="16"/>
    </font>
    <font>
      <name val="宋体"/>
      <family val="2"/>
      <color rgb="FF000000"/>
      <sz val="18"/>
    </font>
  </fonts>
  <fills count="5">
    <fill>
      <patternFill/>
    </fill>
    <fill>
      <patternFill patternType="gray125"/>
    </fill>
    <fill>
      <patternFill patternType="solid">
        <fgColor rgb="FF92d050"/>
      </patternFill>
    </fill>
    <fill>
      <patternFill patternType="solid">
        <fgColor rgb="FFd9d9d9"/>
      </patternFill>
    </fill>
    <fill>
      <patternFill patternType="solid">
        <fgColor rgb="FFffffff"/>
      </patternFill>
    </fill>
  </fills>
  <borders count="34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c6c6c6"/>
      </top>
      <bottom/>
      <diagonal/>
    </border>
    <border>
      <left/>
      <right style="thin">
        <color rgb="FF000000"/>
      </right>
      <top style="thin">
        <color rgb="FFc6c6c6"/>
      </top>
      <bottom style="thin">
        <color rgb="FF000000"/>
      </bottom>
      <diagonal/>
    </border>
  </borders>
  <cellStyleXfs count="1">
    <xf numFmtId="0" fontId="0" fillId="0" borderId="1"/>
  </cellStyleXfs>
  <cellXfs count="144">
    <xf numFmtId="0" fontId="0" fillId="0" borderId="0" pivotButton="0" quotePrefix="0" xfId="0"/>
    <xf numFmtId="3" fontId="1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3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4" fillId="2" borderId="2" applyAlignment="1" pivotButton="0" quotePrefix="0" xfId="0">
      <alignment horizontal="right"/>
    </xf>
    <xf numFmtId="3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3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left"/>
    </xf>
    <xf numFmtId="3" fontId="7" fillId="0" borderId="1" applyAlignment="1" pivotButton="0" quotePrefix="0" xfId="0">
      <alignment horizontal="left"/>
    </xf>
    <xf numFmtId="3" fontId="8" fillId="0" borderId="1" applyAlignment="1" pivotButton="0" quotePrefix="0" xfId="0">
      <alignment horizontal="right"/>
    </xf>
    <xf numFmtId="0" fontId="8" fillId="2" borderId="2" applyAlignment="1" pivotButton="0" quotePrefix="0" xfId="0">
      <alignment horizontal="left"/>
    </xf>
    <xf numFmtId="3" fontId="9" fillId="0" borderId="1" applyAlignment="1" pivotButton="0" quotePrefix="0" xfId="0">
      <alignment horizontal="left"/>
    </xf>
    <xf numFmtId="0" fontId="9" fillId="0" borderId="1" applyAlignment="1" pivotButton="0" quotePrefix="0" xfId="0">
      <alignment horizontal="left"/>
    </xf>
    <xf numFmtId="0" fontId="10" fillId="0" borderId="1" applyAlignment="1" pivotButton="0" quotePrefix="0" xfId="0">
      <alignment horizontal="left"/>
    </xf>
    <xf numFmtId="3" fontId="11" fillId="0" borderId="1" applyAlignment="1" pivotButton="0" quotePrefix="0" xfId="0">
      <alignment horizontal="left"/>
    </xf>
    <xf numFmtId="0" fontId="12" fillId="2" borderId="2" applyAlignment="1" pivotButton="0" quotePrefix="0" xfId="0">
      <alignment horizontal="left"/>
    </xf>
    <xf numFmtId="3" fontId="8" fillId="2" borderId="2" applyAlignment="1" pivotButton="0" quotePrefix="0" xfId="0">
      <alignment horizontal="left"/>
    </xf>
    <xf numFmtId="0" fontId="13" fillId="0" borderId="1" applyAlignment="1" pivotButton="0" quotePrefix="0" xfId="0">
      <alignment horizontal="left"/>
    </xf>
    <xf numFmtId="3" fontId="14" fillId="0" borderId="1" applyAlignment="1" pivotButton="0" quotePrefix="0" xfId="0">
      <alignment horizontal="right"/>
    </xf>
    <xf numFmtId="0" fontId="14" fillId="2" borderId="2" applyAlignment="1" pivotButton="0" quotePrefix="0" xfId="0">
      <alignment horizontal="left"/>
    </xf>
    <xf numFmtId="3" fontId="15" fillId="0" borderId="1" applyAlignment="1" pivotButton="0" quotePrefix="0" xfId="0">
      <alignment horizontal="left"/>
    </xf>
    <xf numFmtId="0" fontId="15" fillId="0" borderId="1" applyAlignment="1" pivotButton="0" quotePrefix="0" xfId="0">
      <alignment horizontal="left"/>
    </xf>
    <xf numFmtId="164" fontId="13" fillId="0" borderId="1" applyAlignment="1" pivotButton="0" quotePrefix="0" xfId="0">
      <alignment horizontal="center"/>
    </xf>
    <xf numFmtId="164" fontId="16" fillId="0" borderId="1" applyAlignment="1" pivotButton="0" quotePrefix="0" xfId="0">
      <alignment horizontal="right"/>
    </xf>
    <xf numFmtId="0" fontId="14" fillId="0" borderId="1" applyAlignment="1" pivotButton="0" quotePrefix="0" xfId="0">
      <alignment horizontal="right"/>
    </xf>
    <xf numFmtId="3" fontId="17" fillId="2" borderId="2" applyAlignment="1" pivotButton="0" quotePrefix="0" xfId="0">
      <alignment horizontal="left"/>
    </xf>
    <xf numFmtId="0" fontId="18" fillId="2" borderId="2" applyAlignment="1" pivotButton="0" quotePrefix="0" xfId="0">
      <alignment horizontal="left"/>
    </xf>
    <xf numFmtId="164" fontId="19" fillId="0" borderId="1" applyAlignment="1" pivotButton="0" quotePrefix="0" xfId="0">
      <alignment horizontal="left"/>
    </xf>
    <xf numFmtId="0" fontId="19" fillId="0" borderId="1" applyAlignment="1" pivotButton="0" quotePrefix="0" xfId="0">
      <alignment horizontal="right"/>
    </xf>
    <xf numFmtId="0" fontId="8" fillId="0" borderId="1" applyAlignment="1" pivotButton="0" quotePrefix="0" xfId="0">
      <alignment horizontal="left"/>
    </xf>
    <xf numFmtId="0" fontId="19" fillId="0" borderId="1" applyAlignment="1" pivotButton="0" quotePrefix="0" xfId="0">
      <alignment horizontal="left"/>
    </xf>
    <xf numFmtId="0" fontId="20" fillId="2" borderId="2" applyAlignment="1" pivotButton="0" quotePrefix="0" xfId="0">
      <alignment horizontal="left"/>
    </xf>
    <xf numFmtId="3" fontId="21" fillId="2" borderId="2" applyAlignment="1" pivotButton="0" quotePrefix="0" xfId="0">
      <alignment horizontal="left"/>
    </xf>
    <xf numFmtId="0" fontId="21" fillId="2" borderId="2" applyAlignment="1" pivotButton="0" quotePrefix="0" xfId="0">
      <alignment horizontal="left"/>
    </xf>
    <xf numFmtId="0" fontId="21" fillId="0" borderId="1" applyAlignment="1" pivotButton="0" quotePrefix="0" xfId="0">
      <alignment horizontal="left"/>
    </xf>
    <xf numFmtId="3" fontId="8" fillId="0" borderId="1" applyAlignment="1" pivotButton="0" quotePrefix="0" xfId="0">
      <alignment horizontal="left"/>
    </xf>
    <xf numFmtId="0" fontId="14" fillId="0" borderId="1" applyAlignment="1" pivotButton="0" quotePrefix="0" xfId="0">
      <alignment horizontal="left"/>
    </xf>
    <xf numFmtId="3" fontId="22" fillId="2" borderId="2" applyAlignment="1" pivotButton="0" quotePrefix="0" xfId="0">
      <alignment horizontal="left"/>
    </xf>
    <xf numFmtId="3" fontId="21" fillId="0" borderId="1" applyAlignment="1" pivotButton="0" quotePrefix="0" xfId="0">
      <alignment horizontal="left"/>
    </xf>
    <xf numFmtId="3" fontId="14" fillId="0" borderId="1" applyAlignment="1" pivotButton="0" quotePrefix="0" xfId="0">
      <alignment horizontal="left"/>
    </xf>
    <xf numFmtId="3" fontId="23" fillId="2" borderId="3" applyAlignment="1" pivotButton="0" quotePrefix="0" xfId="0">
      <alignment horizontal="left"/>
    </xf>
    <xf numFmtId="0" fontId="24" fillId="0" borderId="4" applyAlignment="1" pivotButton="0" quotePrefix="0" xfId="0">
      <alignment horizontal="left"/>
    </xf>
    <xf numFmtId="3" fontId="24" fillId="0" borderId="4" applyAlignment="1" pivotButton="0" quotePrefix="0" xfId="0">
      <alignment horizontal="left"/>
    </xf>
    <xf numFmtId="0" fontId="25" fillId="0" borderId="5" applyAlignment="1" pivotButton="0" quotePrefix="0" xfId="0">
      <alignment horizontal="center" vertical="top"/>
    </xf>
    <xf numFmtId="0" fontId="24" fillId="0" borderId="6" applyAlignment="1" pivotButton="0" quotePrefix="0" xfId="0">
      <alignment horizontal="left"/>
    </xf>
    <xf numFmtId="3" fontId="26" fillId="0" borderId="7" applyAlignment="1" pivotButton="0" quotePrefix="0" xfId="0">
      <alignment horizontal="center" vertical="top"/>
    </xf>
    <xf numFmtId="3" fontId="24" fillId="0" borderId="8" applyAlignment="1" pivotButton="0" quotePrefix="0" xfId="0">
      <alignment horizontal="left"/>
    </xf>
    <xf numFmtId="3" fontId="26" fillId="0" borderId="1" applyAlignment="1" pivotButton="0" quotePrefix="0" xfId="0">
      <alignment horizontal="center"/>
    </xf>
    <xf numFmtId="0" fontId="24" fillId="0" borderId="9" applyAlignment="1" pivotButton="0" quotePrefix="0" xfId="0">
      <alignment horizontal="left"/>
    </xf>
    <xf numFmtId="3" fontId="24" fillId="0" borderId="10" applyAlignment="1" pivotButton="0" quotePrefix="0" xfId="0">
      <alignment horizontal="left"/>
    </xf>
    <xf numFmtId="0" fontId="24" fillId="0" borderId="11" applyAlignment="1" pivotButton="0" quotePrefix="0" xfId="0">
      <alignment horizontal="left"/>
    </xf>
    <xf numFmtId="3" fontId="24" fillId="0" borderId="12" applyAlignment="1" pivotButton="0" quotePrefix="0" xfId="0">
      <alignment horizontal="left"/>
    </xf>
    <xf numFmtId="3" fontId="27" fillId="3" borderId="13" applyAlignment="1" pivotButton="0" quotePrefix="0" xfId="0">
      <alignment horizontal="center" vertical="top" wrapText="1"/>
    </xf>
    <xf numFmtId="0" fontId="27" fillId="3" borderId="13" applyAlignment="1" pivotButton="0" quotePrefix="0" xfId="0">
      <alignment horizontal="center" vertical="top" wrapText="1"/>
    </xf>
    <xf numFmtId="0" fontId="28" fillId="3" borderId="13" applyAlignment="1" pivotButton="0" quotePrefix="0" xfId="0">
      <alignment horizontal="center"/>
    </xf>
    <xf numFmtId="0" fontId="24" fillId="0" borderId="14" applyAlignment="1" pivotButton="0" quotePrefix="0" xfId="0">
      <alignment horizontal="left"/>
    </xf>
    <xf numFmtId="0" fontId="24" fillId="0" borderId="15" applyAlignment="1" pivotButton="0" quotePrefix="0" xfId="0">
      <alignment horizontal="left"/>
    </xf>
    <xf numFmtId="3" fontId="28" fillId="3" borderId="13" applyAlignment="1" pivotButton="0" quotePrefix="0" xfId="0">
      <alignment horizontal="center"/>
    </xf>
    <xf numFmtId="3" fontId="28" fillId="3" borderId="16" applyAlignment="1" pivotButton="0" quotePrefix="0" xfId="0">
      <alignment horizontal="center"/>
    </xf>
    <xf numFmtId="3" fontId="24" fillId="0" borderId="15" applyAlignment="1" pivotButton="0" quotePrefix="0" xfId="0">
      <alignment horizontal="left"/>
    </xf>
    <xf numFmtId="3" fontId="24" fillId="0" borderId="17" applyAlignment="1" pivotButton="0" quotePrefix="0" xfId="0">
      <alignment horizontal="left"/>
    </xf>
    <xf numFmtId="0" fontId="24" fillId="0" borderId="17" applyAlignment="1" pivotButton="0" quotePrefix="0" xfId="0">
      <alignment horizontal="left"/>
    </xf>
    <xf numFmtId="0" fontId="29" fillId="3" borderId="18" applyAlignment="1" pivotButton="0" quotePrefix="0" xfId="0">
      <alignment horizontal="center" wrapText="1"/>
    </xf>
    <xf numFmtId="0" fontId="7" fillId="3" borderId="19" applyAlignment="1" pivotButton="0" quotePrefix="0" xfId="0">
      <alignment horizontal="left"/>
    </xf>
    <xf numFmtId="3" fontId="7" fillId="0" borderId="13" applyAlignment="1" pivotButton="0" quotePrefix="0" xfId="0">
      <alignment horizontal="center" wrapText="1"/>
    </xf>
    <xf numFmtId="0" fontId="30" fillId="0" borderId="13" applyAlignment="1" pivotButton="0" quotePrefix="0" xfId="0">
      <alignment horizontal="center" wrapText="1"/>
    </xf>
    <xf numFmtId="0" fontId="31" fillId="0" borderId="13" applyAlignment="1" pivotButton="0" quotePrefix="0" xfId="0">
      <alignment horizontal="center" wrapText="1"/>
    </xf>
    <xf numFmtId="0" fontId="32" fillId="0" borderId="13" applyAlignment="1" pivotButton="0" quotePrefix="0" xfId="0">
      <alignment horizontal="left" wrapText="1"/>
    </xf>
    <xf numFmtId="0" fontId="33" fillId="0" borderId="13" applyAlignment="1" pivotButton="0" quotePrefix="0" xfId="0">
      <alignment horizontal="left" wrapText="1"/>
    </xf>
    <xf numFmtId="3" fontId="34" fillId="0" borderId="13" applyAlignment="1" pivotButton="0" quotePrefix="0" xfId="0">
      <alignment horizontal="right"/>
    </xf>
    <xf numFmtId="0" fontId="35" fillId="0" borderId="15" applyAlignment="1" pivotButton="0" quotePrefix="0" xfId="0">
      <alignment horizontal="center"/>
    </xf>
    <xf numFmtId="3" fontId="8" fillId="0" borderId="13" applyAlignment="1" pivotButton="0" quotePrefix="0" xfId="0">
      <alignment horizontal="center"/>
    </xf>
    <xf numFmtId="0" fontId="22" fillId="0" borderId="13" applyAlignment="1" pivotButton="0" quotePrefix="0" xfId="0">
      <alignment horizontal="center"/>
    </xf>
    <xf numFmtId="3" fontId="22" fillId="0" borderId="13" applyAlignment="1" pivotButton="0" quotePrefix="0" xfId="0">
      <alignment horizontal="right"/>
    </xf>
    <xf numFmtId="0" fontId="32" fillId="0" borderId="20" applyAlignment="1" pivotButton="0" quotePrefix="0" xfId="0">
      <alignment horizontal="left" wrapText="1"/>
    </xf>
    <xf numFmtId="0" fontId="32" fillId="0" borderId="15" applyAlignment="1" pivotButton="0" quotePrefix="0" xfId="0">
      <alignment horizontal="left" wrapText="1"/>
    </xf>
    <xf numFmtId="4" fontId="35" fillId="0" borderId="15" applyAlignment="1" pivotButton="0" quotePrefix="0" xfId="0">
      <alignment horizontal="center"/>
    </xf>
    <xf numFmtId="3" fontId="22" fillId="0" borderId="13" applyAlignment="1" pivotButton="0" quotePrefix="0" xfId="0">
      <alignment horizontal="center"/>
    </xf>
    <xf numFmtId="0" fontId="36" fillId="0" borderId="13" applyAlignment="1" pivotButton="0" quotePrefix="0" xfId="0">
      <alignment horizontal="center" wrapText="1"/>
    </xf>
    <xf numFmtId="0" fontId="32" fillId="0" borderId="13" applyAlignment="1" pivotButton="0" quotePrefix="0" xfId="0">
      <alignment horizontal="center"/>
    </xf>
    <xf numFmtId="0" fontId="37" fillId="0" borderId="13" applyAlignment="1" pivotButton="0" quotePrefix="0" xfId="0">
      <alignment horizontal="left" wrapText="1"/>
    </xf>
    <xf numFmtId="0" fontId="8" fillId="0" borderId="13" applyAlignment="1" pivotButton="0" quotePrefix="0" xfId="0">
      <alignment horizontal="left" wrapText="1"/>
    </xf>
    <xf numFmtId="0" fontId="33" fillId="0" borderId="13" applyAlignment="1" pivotButton="0" quotePrefix="0" xfId="0">
      <alignment horizontal="center" wrapText="1"/>
    </xf>
    <xf numFmtId="0" fontId="32" fillId="0" borderId="13" applyAlignment="1" pivotButton="0" quotePrefix="0" xfId="0">
      <alignment horizontal="left"/>
    </xf>
    <xf numFmtId="0" fontId="7" fillId="3" borderId="2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3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8" fillId="0" borderId="1" applyAlignment="1" pivotButton="0" quotePrefix="0" xfId="0">
      <alignment horizontal="center"/>
    </xf>
    <xf numFmtId="0" fontId="39" fillId="0" borderId="1" applyAlignment="1" pivotButton="0" quotePrefix="0" xfId="0">
      <alignment horizontal="center"/>
    </xf>
    <xf numFmtId="0" fontId="40" fillId="3" borderId="18" applyAlignment="1" pivotButton="0" quotePrefix="0" xfId="0">
      <alignment horizontal="right"/>
    </xf>
    <xf numFmtId="3" fontId="24" fillId="0" borderId="21" applyAlignment="1" pivotButton="0" quotePrefix="0" xfId="0">
      <alignment horizontal="left"/>
    </xf>
    <xf numFmtId="0" fontId="22" fillId="0" borderId="17" applyAlignment="1" pivotButton="0" quotePrefix="0" xfId="0">
      <alignment horizontal="center"/>
    </xf>
    <xf numFmtId="3" fontId="22" fillId="0" borderId="17" applyAlignment="1" pivotButton="0" quotePrefix="0" xfId="0">
      <alignment horizontal="right"/>
    </xf>
    <xf numFmtId="0" fontId="41" fillId="0" borderId="1" applyAlignment="1" pivotButton="0" quotePrefix="0" xfId="0">
      <alignment horizontal="left" wrapText="1"/>
    </xf>
    <xf numFmtId="0" fontId="40" fillId="3" borderId="13" applyAlignment="1" pivotButton="0" quotePrefix="0" xfId="0">
      <alignment horizontal="right"/>
    </xf>
    <xf numFmtId="3" fontId="7" fillId="0" borderId="1" applyAlignment="1" pivotButton="0" quotePrefix="0" xfId="0">
      <alignment horizontal="center"/>
    </xf>
    <xf numFmtId="0" fontId="42" fillId="3" borderId="13" applyAlignment="1" pivotButton="0" quotePrefix="0" xfId="0">
      <alignment horizontal="right"/>
    </xf>
    <xf numFmtId="0" fontId="42" fillId="0" borderId="1" applyAlignment="1" pivotButton="0" quotePrefix="0" xfId="0">
      <alignment horizontal="right"/>
    </xf>
    <xf numFmtId="3" fontId="42" fillId="0" borderId="1" applyAlignment="1" pivotButton="0" quotePrefix="0" xfId="0">
      <alignment horizontal="right"/>
    </xf>
    <xf numFmtId="3" fontId="22" fillId="0" borderId="1" applyAlignment="1" pivotButton="0" quotePrefix="0" xfId="0">
      <alignment horizontal="center"/>
    </xf>
    <xf numFmtId="3" fontId="22" fillId="0" borderId="1" applyAlignment="1" pivotButton="0" quotePrefix="0" xfId="0">
      <alignment horizontal="right"/>
    </xf>
    <xf numFmtId="3" fontId="43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40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42" fillId="0" borderId="1" applyAlignment="1" pivotButton="0" quotePrefix="0" xfId="0">
      <alignment horizontal="center"/>
    </xf>
    <xf numFmtId="0" fontId="44" fillId="0" borderId="1" applyAlignment="1" pivotButton="0" quotePrefix="0" xfId="0">
      <alignment horizontal="left"/>
    </xf>
    <xf numFmtId="3" fontId="45" fillId="0" borderId="1" applyAlignment="1" pivotButton="0" quotePrefix="0" xfId="0">
      <alignment horizontal="center"/>
    </xf>
    <xf numFmtId="0" fontId="45" fillId="0" borderId="1" applyAlignment="1" pivotButton="0" quotePrefix="0" xfId="0">
      <alignment horizontal="center"/>
    </xf>
    <xf numFmtId="3" fontId="46" fillId="0" borderId="1" applyAlignment="1" pivotButton="0" quotePrefix="0" xfId="0">
      <alignment horizontal="center"/>
    </xf>
    <xf numFmtId="0" fontId="46" fillId="0" borderId="1" applyAlignment="1" pivotButton="0" quotePrefix="0" xfId="0">
      <alignment horizontal="center"/>
    </xf>
    <xf numFmtId="3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4" borderId="2" applyAlignment="1" pivotButton="0" quotePrefix="0" xfId="0">
      <alignment horizontal="left"/>
    </xf>
    <xf numFmtId="3" fontId="47" fillId="0" borderId="1" applyAlignment="1" pivotButton="0" quotePrefix="0" xfId="0">
      <alignment horizontal="center"/>
    </xf>
    <xf numFmtId="0" fontId="47" fillId="0" borderId="1" applyAlignment="1" pivotButton="0" quotePrefix="0" xfId="0">
      <alignment horizontal="center"/>
    </xf>
    <xf numFmtId="3" fontId="48" fillId="0" borderId="1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4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7" pivotButton="0" quotePrefix="0" xfId="0"/>
    <xf numFmtId="0" fontId="0" fillId="0" borderId="1" pivotButton="0" quotePrefix="0" xfId="0"/>
    <xf numFmtId="0" fontId="0" fillId="0" borderId="3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Q106"/>
  <sheetViews>
    <sheetView tabSelected="1" workbookViewId="0">
      <selection activeCell="A1" sqref="A1"/>
    </sheetView>
  </sheetViews>
  <sheetFormatPr baseColWidth="8" defaultRowHeight="15"/>
  <cols>
    <col width="4.5" bestFit="1" customWidth="1" style="124" min="1" max="1"/>
    <col width="14" bestFit="1" customWidth="1" style="125" min="2" max="2"/>
    <col width="14" bestFit="1" customWidth="1" style="125" min="3" max="3"/>
    <col width="28.14785714285714" bestFit="1" customWidth="1" style="125" min="4" max="4"/>
    <col width="22.14785714285714" bestFit="1" customWidth="1" style="125" min="5" max="5"/>
    <col width="12" bestFit="1" customWidth="1" style="125" min="6" max="6"/>
    <col width="9.862142857142858" bestFit="1" customWidth="1" style="125" min="7" max="7"/>
    <col width="8" bestFit="1" customWidth="1" style="124" min="8" max="8"/>
    <col width="6" bestFit="1" customWidth="1" style="125" min="9" max="9"/>
    <col width="11.86214285714286" bestFit="1" customWidth="1" style="126" min="10" max="10"/>
    <col width="7" bestFit="1" customWidth="1" style="127" min="11" max="11"/>
    <col width="16.14785714285714" bestFit="1" customWidth="1" style="124" min="12" max="12"/>
    <col width="10.57642857142857" bestFit="1" customWidth="1" style="125" min="13" max="13"/>
    <col width="3.147857142857143" bestFit="1" customWidth="1" style="125" min="14" max="14"/>
    <col width="5.290714285714285" bestFit="1" customWidth="1" style="125" min="15" max="15"/>
    <col width="4.576428571428571" bestFit="1" customWidth="1" style="125" min="16" max="16"/>
    <col width="10.57642857142857" bestFit="1" customWidth="1" style="125" min="17" max="17"/>
  </cols>
  <sheetData>
    <row r="1" ht="61.5" customHeight="1">
      <c r="A1" s="1" t="inlineStr">
        <is>
          <t>PURCHASE ORDER</t>
        </is>
      </c>
      <c r="M1" s="2" t="n"/>
      <c r="N1" s="2" t="n"/>
      <c r="O1" s="125" t="n"/>
      <c r="P1" s="125" t="n"/>
      <c r="Q1" s="125" t="n"/>
    </row>
    <row r="2" ht="42" customHeight="1">
      <c r="A2" s="7" t="inlineStr">
        <is>
          <t>CELEBRITY EDGE</t>
        </is>
      </c>
      <c r="B2" s="128" t="n"/>
      <c r="C2" s="128" t="n"/>
      <c r="D2" s="128" t="n"/>
      <c r="E2" s="128" t="n"/>
      <c r="F2" s="128" t="n"/>
      <c r="G2" s="128" t="n"/>
      <c r="H2" s="128" t="n"/>
      <c r="I2" s="128" t="n"/>
      <c r="J2" s="128" t="n"/>
      <c r="K2" s="128" t="n"/>
      <c r="L2" s="129" t="n"/>
      <c r="M2" s="125" t="n"/>
      <c r="N2" s="125" t="n"/>
      <c r="O2" s="125" t="n"/>
      <c r="P2" s="125" t="n"/>
      <c r="Q2" s="125" t="n"/>
    </row>
    <row r="3" ht="36" customHeight="1">
      <c r="A3" s="8" t="n"/>
      <c r="B3" s="9" t="n"/>
      <c r="C3" s="9" t="n"/>
      <c r="D3" s="9" t="n"/>
      <c r="E3" s="9" t="n"/>
      <c r="F3" s="9" t="n"/>
      <c r="G3" s="9" t="n"/>
      <c r="H3" s="8" t="n"/>
      <c r="I3" s="9" t="n"/>
      <c r="J3" s="8" t="n"/>
      <c r="K3" s="9" t="n"/>
      <c r="L3" s="8" t="n"/>
      <c r="M3" s="125" t="n"/>
      <c r="N3" s="125" t="n"/>
      <c r="O3" s="125" t="n"/>
      <c r="P3" s="125" t="n"/>
      <c r="Q3" s="125" t="n"/>
    </row>
    <row r="4" ht="30" customHeight="1">
      <c r="A4" s="10" t="inlineStr">
        <is>
          <t>Supplier 17</t>
        </is>
      </c>
      <c r="B4" s="11" t="n"/>
      <c r="C4" s="12" t="n"/>
      <c r="D4" s="12" t="n"/>
      <c r="E4" s="12" t="n"/>
      <c r="F4" s="12" t="n"/>
      <c r="G4" s="12" t="n"/>
      <c r="H4" s="13" t="n"/>
      <c r="I4" s="12" t="n"/>
      <c r="J4" s="14" t="inlineStr">
        <is>
          <t>DATE：</t>
        </is>
      </c>
      <c r="K4" s="15" t="inlineStr">
        <is>
          <t>2025-08-04</t>
        </is>
      </c>
      <c r="L4" s="129" t="n"/>
      <c r="M4" s="125" t="n"/>
      <c r="N4" s="125" t="n"/>
      <c r="O4" s="125" t="n"/>
      <c r="P4" s="125" t="n"/>
      <c r="Q4" s="125" t="n"/>
    </row>
    <row r="5" ht="24" customHeight="1">
      <c r="A5" s="16" t="inlineStr">
        <is>
          <t>担当者：河野良太</t>
        </is>
      </c>
      <c r="B5" s="17" t="n"/>
      <c r="C5" s="18" t="n"/>
      <c r="D5" s="18" t="n"/>
      <c r="E5" s="18" t="n"/>
      <c r="F5" s="18" t="n"/>
      <c r="G5" s="18" t="n"/>
      <c r="H5" s="19" t="n"/>
      <c r="J5" s="14" t="inlineStr">
        <is>
          <t>Invoice：</t>
        </is>
      </c>
      <c r="K5" s="20" t="inlineStr">
        <is>
          <t>68358749</t>
        </is>
      </c>
      <c r="L5" s="21" t="n"/>
      <c r="M5" s="125" t="n"/>
      <c r="N5" s="125" t="n"/>
      <c r="O5" s="125" t="n"/>
      <c r="P5" s="125" t="n"/>
      <c r="Q5" s="125" t="n"/>
    </row>
    <row r="6" ht="24" customHeight="1">
      <c r="A6" s="16" t="inlineStr">
        <is>
          <t>横浜市都筑区大熊町１０５－２</t>
        </is>
      </c>
      <c r="B6" s="17" t="n"/>
      <c r="C6" s="22" t="n"/>
      <c r="D6" s="22" t="n"/>
      <c r="E6" s="22" t="n"/>
      <c r="F6" s="22" t="n"/>
      <c r="G6" s="22" t="n"/>
      <c r="H6" s="13" t="n"/>
      <c r="I6" s="12" t="n"/>
      <c r="J6" s="23" t="inlineStr">
        <is>
          <t>Voyage：</t>
        </is>
      </c>
      <c r="K6" s="24" t="inlineStr"/>
      <c r="L6" s="129" t="n"/>
      <c r="M6" s="125" t="n"/>
      <c r="N6" s="125" t="n"/>
      <c r="O6" s="125" t="n"/>
      <c r="P6" s="125" t="n"/>
      <c r="Q6" s="125" t="n"/>
    </row>
    <row r="7" ht="18.75" customHeight="1">
      <c r="A7" s="25" t="inlineStr">
        <is>
          <t>TEL:045-472-9171</t>
        </is>
      </c>
      <c r="B7" s="26" t="n"/>
      <c r="C7" s="22" t="n"/>
      <c r="D7" s="22" t="n"/>
      <c r="E7" s="22" t="n"/>
      <c r="F7" s="22" t="n"/>
      <c r="G7" s="22" t="n"/>
      <c r="H7" s="27" t="n"/>
      <c r="J7" s="28" t="n"/>
      <c r="M7" s="125" t="n"/>
      <c r="N7" s="125" t="n"/>
      <c r="O7" s="125" t="n"/>
      <c r="P7" s="125" t="n"/>
      <c r="Q7" s="125" t="n"/>
    </row>
    <row r="8" ht="24" customHeight="1">
      <c r="A8" s="25" t="inlineStr">
        <is>
          <t>E-mail:r-kono@takanashi-milk.co.jp</t>
        </is>
      </c>
      <c r="B8" s="26" t="n"/>
      <c r="C8" s="22" t="n"/>
      <c r="D8" s="22" t="n"/>
      <c r="E8" s="22" t="n"/>
      <c r="F8" s="29" t="inlineStr">
        <is>
          <t>Delivery Date:</t>
        </is>
      </c>
      <c r="H8" s="30" t="inlineStr">
        <is>
          <t>2026-01-05</t>
        </is>
      </c>
      <c r="I8" s="128" t="n"/>
      <c r="J8" s="129" t="n"/>
      <c r="K8" s="31" t="inlineStr">
        <is>
          <t>[午前中]厳守</t>
        </is>
      </c>
      <c r="L8" s="32" t="n"/>
      <c r="M8" s="32" t="n"/>
      <c r="N8" s="125" t="n"/>
      <c r="O8" s="125" t="n"/>
      <c r="P8" s="125" t="n"/>
      <c r="Q8" s="125" t="n"/>
    </row>
    <row r="9" ht="24" customHeight="1">
      <c r="A9" s="13" t="n"/>
      <c r="B9" s="12" t="n"/>
      <c r="C9" s="12" t="n"/>
      <c r="D9" s="12" t="n"/>
      <c r="E9" s="12" t="n"/>
      <c r="F9" s="33" t="inlineStr">
        <is>
          <t>Delivery Address:</t>
        </is>
      </c>
      <c r="H9" s="21" t="inlineStr"/>
      <c r="I9" s="128" t="n"/>
      <c r="J9" s="128" t="n"/>
      <c r="K9" s="128" t="n"/>
      <c r="L9" s="129" t="n"/>
      <c r="M9" s="34" t="n"/>
      <c r="N9" s="125" t="n"/>
      <c r="O9" s="125" t="n"/>
      <c r="P9" s="125" t="n"/>
      <c r="Q9" s="125" t="n"/>
    </row>
    <row r="10" ht="24" customHeight="1">
      <c r="A10" s="13" t="n"/>
      <c r="B10" s="12" t="n"/>
      <c r="C10" s="12" t="n"/>
      <c r="D10" s="12" t="n"/>
      <c r="E10" s="12" t="n"/>
      <c r="F10" s="35" t="n"/>
      <c r="G10" s="35" t="n"/>
      <c r="H10" s="21" t="inlineStr">
        <is>
          <t>SYDNEY</t>
        </is>
      </c>
      <c r="I10" s="36" t="n"/>
      <c r="J10" s="37" t="n"/>
      <c r="K10" s="38" t="n"/>
      <c r="L10" s="37" t="n"/>
      <c r="M10" s="39" t="n"/>
      <c r="N10" s="125" t="n"/>
      <c r="O10" s="125" t="n"/>
      <c r="P10" s="125" t="n"/>
      <c r="Q10" s="125" t="n"/>
    </row>
    <row r="11" ht="24" customHeight="1">
      <c r="A11" s="13" t="n"/>
      <c r="B11" s="12" t="n"/>
      <c r="C11" s="12" t="n"/>
      <c r="D11" s="12" t="n"/>
      <c r="E11" s="12" t="n"/>
      <c r="F11" s="35" t="n"/>
      <c r="G11" s="35" t="n"/>
      <c r="H11" s="40" t="inlineStr">
        <is>
          <t>担当：Ms.トウ　080-6259-5888</t>
        </is>
      </c>
      <c r="I11" s="36" t="n"/>
      <c r="J11" s="37" t="n"/>
      <c r="K11" s="38" t="n"/>
      <c r="L11" s="37" t="n"/>
      <c r="M11" s="39" t="n"/>
      <c r="N11" s="125" t="n"/>
      <c r="O11" s="125" t="n"/>
      <c r="P11" s="125" t="n"/>
      <c r="Q11" s="125" t="n"/>
    </row>
    <row r="12" ht="24" customHeight="1">
      <c r="A12" s="13" t="n"/>
      <c r="B12" s="12" t="n"/>
      <c r="C12" s="12" t="n"/>
      <c r="D12" s="12" t="n"/>
      <c r="E12" s="12" t="n"/>
      <c r="F12" s="41" t="n"/>
      <c r="G12" s="41" t="n"/>
      <c r="H12" s="40" t="n"/>
      <c r="I12" s="36" t="inlineStr">
        <is>
          <t>CELEBRITY EDGE</t>
        </is>
      </c>
      <c r="J12" s="42" t="n"/>
      <c r="K12" s="24" t="n"/>
      <c r="L12" s="42" t="n"/>
      <c r="M12" s="39" t="n"/>
      <c r="N12" s="125" t="n"/>
      <c r="O12" s="125" t="n"/>
      <c r="P12" s="125" t="n"/>
      <c r="Q12" s="125" t="n"/>
    </row>
    <row r="13" ht="30" customHeight="1">
      <c r="A13" s="10" t="inlineStr">
        <is>
          <t>株式会社メリットトレーディング</t>
        </is>
      </c>
      <c r="B13" s="11" t="n"/>
      <c r="C13" s="12" t="n"/>
      <c r="D13" s="12" t="n"/>
      <c r="E13" s="12" t="n"/>
      <c r="F13" s="34" t="inlineStr">
        <is>
          <t>Payment Date:</t>
        </is>
      </c>
      <c r="G13" s="34" t="n"/>
      <c r="H13" s="21" t="inlineStr">
        <is>
          <t>前振り込み</t>
        </is>
      </c>
      <c r="I13" s="128" t="n"/>
      <c r="J13" s="129" t="n"/>
      <c r="K13" s="39" t="n"/>
      <c r="L13" s="43" t="n"/>
      <c r="M13" s="39" t="n"/>
      <c r="N13" s="125" t="n"/>
      <c r="O13" s="125" t="n"/>
      <c r="P13" s="125" t="n"/>
      <c r="Q13" s="125" t="n"/>
    </row>
    <row r="14" ht="24" customHeight="1">
      <c r="A14" s="13" t="inlineStr">
        <is>
          <t>〒900-0003</t>
        </is>
      </c>
      <c r="B14" s="12" t="n"/>
      <c r="C14" s="12" t="n"/>
      <c r="D14" s="12" t="n"/>
      <c r="E14" s="12" t="n"/>
      <c r="F14" s="34" t="inlineStr">
        <is>
          <t>Payment Method:</t>
        </is>
      </c>
      <c r="G14" s="34" t="n"/>
      <c r="H14" s="21" t="inlineStr">
        <is>
          <t>口座振り込み</t>
        </is>
      </c>
      <c r="I14" s="15" t="n"/>
      <c r="J14" s="21" t="n"/>
      <c r="K14" s="34" t="n"/>
      <c r="L14" s="44" t="n"/>
      <c r="M14" s="34" t="n"/>
      <c r="N14" s="125" t="n"/>
      <c r="O14" s="125" t="n"/>
      <c r="P14" s="125" t="n"/>
      <c r="Q14" s="125" t="n"/>
    </row>
    <row r="15" ht="24" customHeight="1">
      <c r="A15" s="13" t="inlineStr">
        <is>
          <t>沖縄県那覇市安謝1-2-21 アーバンウエスト秋桜201</t>
        </is>
      </c>
      <c r="B15" s="12" t="n"/>
      <c r="C15" s="12" t="n"/>
      <c r="D15" s="12" t="n"/>
      <c r="E15" s="12" t="n"/>
      <c r="F15" s="34" t="inlineStr">
        <is>
          <t>担当者及び連絡先：</t>
        </is>
      </c>
      <c r="G15" s="34" t="n"/>
      <c r="H15" s="45" t="inlineStr">
        <is>
          <t>邢　080-4311-1145</t>
        </is>
      </c>
      <c r="I15" s="130" t="n"/>
      <c r="J15" s="131" t="n"/>
      <c r="K15" s="34" t="n"/>
      <c r="L15" s="40" t="n"/>
      <c r="M15" s="34" t="n"/>
      <c r="N15" s="125" t="n"/>
      <c r="O15" s="125" t="n"/>
      <c r="P15" s="125" t="n"/>
      <c r="Q15" s="125" t="n"/>
    </row>
    <row r="16" ht="30.75" customHeight="1">
      <c r="A16" s="25" t="inlineStr">
        <is>
          <t>TEL:098-917-2295</t>
        </is>
      </c>
      <c r="B16" s="26" t="n"/>
      <c r="C16" s="12" t="n"/>
      <c r="D16" s="12" t="n"/>
      <c r="E16" s="12" t="n"/>
      <c r="F16" s="48" t="inlineStr">
        <is>
          <t>TOTAL:</t>
        </is>
      </c>
      <c r="G16" s="132" t="n"/>
      <c r="H16" s="50">
        <f>L95</f>
        <v/>
      </c>
      <c r="I16" s="132" t="n"/>
      <c r="J16" s="133" t="n"/>
      <c r="K16" s="52" t="n"/>
      <c r="L16" s="13" t="n"/>
      <c r="M16" s="125" t="n"/>
      <c r="N16" s="125" t="n"/>
      <c r="O16" s="125" t="n"/>
      <c r="P16" s="125" t="n"/>
      <c r="Q16" s="125" t="n"/>
    </row>
    <row r="17" ht="30.75" customHeight="1">
      <c r="A17" s="25" t="inlineStr">
        <is>
          <t>FAX:098-917-2296</t>
        </is>
      </c>
      <c r="B17" s="26" t="n"/>
      <c r="C17" s="12" t="n"/>
      <c r="D17" s="12" t="n"/>
      <c r="E17" s="12" t="n"/>
      <c r="F17" s="134" t="n"/>
      <c r="J17" s="135" t="n"/>
      <c r="K17" s="52" t="n"/>
      <c r="L17" s="13" t="n"/>
      <c r="M17" s="125" t="n"/>
      <c r="N17" s="125" t="n"/>
      <c r="O17" s="125" t="n"/>
      <c r="P17" s="125" t="n"/>
      <c r="Q17" s="125" t="n"/>
    </row>
    <row r="18" ht="30.75" customHeight="1">
      <c r="A18" s="25" t="inlineStr">
        <is>
          <t>E-mail:cruise.merit@gmail.com</t>
        </is>
      </c>
      <c r="B18" s="26" t="n"/>
      <c r="C18" s="12" t="n"/>
      <c r="D18" s="12" t="n"/>
      <c r="E18" s="12" t="n"/>
      <c r="F18" s="136" t="n"/>
      <c r="G18" s="137" t="n"/>
      <c r="H18" s="137" t="n"/>
      <c r="I18" s="137" t="n"/>
      <c r="J18" s="138" t="n"/>
      <c r="K18" s="52" t="n"/>
      <c r="L18" s="13" t="n"/>
      <c r="M18" s="125" t="n"/>
      <c r="N18" s="125" t="n"/>
      <c r="O18" s="125" t="n"/>
      <c r="P18" s="125" t="n"/>
      <c r="Q18" s="125" t="n"/>
    </row>
    <row r="19" ht="19.5" customHeight="1">
      <c r="A19" s="13" t="n"/>
      <c r="B19" s="12" t="n"/>
      <c r="C19" s="12" t="n"/>
      <c r="D19" s="12" t="n"/>
      <c r="E19" s="12" t="n"/>
      <c r="F19" s="12" t="n"/>
      <c r="G19" s="12" t="n"/>
      <c r="H19" s="13" t="n"/>
      <c r="I19" s="12" t="n"/>
      <c r="J19" s="13" t="n"/>
      <c r="K19" s="12" t="n"/>
      <c r="L19" s="13" t="n"/>
      <c r="M19" s="125" t="n"/>
      <c r="N19" s="125" t="n"/>
      <c r="O19" s="125" t="n"/>
      <c r="P19" s="125" t="n"/>
      <c r="Q19" s="125" t="n"/>
    </row>
    <row r="20" ht="24.75" customHeight="1">
      <c r="A20" s="57" t="inlineStr">
        <is>
          <t>NO.</t>
        </is>
      </c>
      <c r="B20" s="58" t="inlineStr">
        <is>
          <t>PO No.</t>
        </is>
      </c>
      <c r="C20" s="59" t="inlineStr">
        <is>
          <t>Product（商品名）</t>
        </is>
      </c>
      <c r="D20" s="139" t="n"/>
      <c r="E20" s="140" t="n"/>
      <c r="F20" s="59" t="inlineStr">
        <is>
          <t>Description</t>
        </is>
      </c>
      <c r="G20" s="140" t="n"/>
      <c r="H20" s="62" t="inlineStr">
        <is>
          <t>Quantity</t>
        </is>
      </c>
      <c r="I20" s="140" t="n"/>
      <c r="J20" s="63" t="inlineStr">
        <is>
          <t>Unit price</t>
        </is>
      </c>
      <c r="K20" s="59" t="inlineStr">
        <is>
          <t>Amount(JPY)</t>
        </is>
      </c>
      <c r="L20" s="140" t="n"/>
      <c r="M20" s="125" t="n"/>
      <c r="N20" s="125" t="n"/>
      <c r="O20" s="125" t="n"/>
      <c r="P20" s="125" t="n"/>
      <c r="Q20" s="125" t="n"/>
    </row>
    <row r="21" ht="24" customHeight="1">
      <c r="A21" s="141" t="n"/>
      <c r="B21" s="141" t="n"/>
      <c r="C21" s="67" t="inlineStr">
        <is>
          <t>商品コード</t>
        </is>
      </c>
      <c r="D21" s="59" t="inlineStr">
        <is>
          <t>英語表記</t>
        </is>
      </c>
      <c r="E21" s="59" t="inlineStr">
        <is>
          <t>日本語表記</t>
        </is>
      </c>
      <c r="F21" s="59" t="inlineStr">
        <is>
          <t>（詳細）</t>
        </is>
      </c>
      <c r="G21" s="140" t="n"/>
      <c r="H21" s="62" t="inlineStr">
        <is>
          <t>(数量)</t>
        </is>
      </c>
      <c r="I21" s="140" t="n"/>
      <c r="J21" s="63" t="inlineStr">
        <is>
          <t>(単価）</t>
        </is>
      </c>
      <c r="K21" s="59" t="inlineStr">
        <is>
          <t>(合計)</t>
        </is>
      </c>
      <c r="L21" s="140" t="n"/>
      <c r="M21" s="68" t="n"/>
      <c r="N21" s="125" t="n"/>
      <c r="O21" s="125" t="n"/>
      <c r="P21" s="125" t="n"/>
      <c r="Q21" s="125" t="n"/>
    </row>
    <row r="22" ht="44.25" customHeight="1">
      <c r="A22" t="n">
        <v>1</v>
      </c>
      <c r="B22" t="inlineStr">
        <is>
          <t>68358749</t>
        </is>
      </c>
      <c r="C22" t="inlineStr">
        <is>
          <t>99PRD010588</t>
        </is>
      </c>
      <c r="D22" t="inlineStr">
        <is>
          <t>APPLE GRANNY SMITH US EXTRA FANCY 125CT/40LB</t>
        </is>
      </c>
      <c r="E22" t="inlineStr"/>
      <c r="F22" s="142" t="inlineStr">
        <is>
          <t>kg</t>
        </is>
      </c>
      <c r="H22" t="n">
        <v>246</v>
      </c>
      <c r="I22" t="inlineStr">
        <is>
          <t>KG</t>
        </is>
      </c>
      <c r="J22" t="n">
        <v>1.29</v>
      </c>
      <c r="K22" t="inlineStr">
        <is>
          <t>JPY</t>
        </is>
      </c>
      <c r="L22">
        <f>H22*J22</f>
        <v/>
      </c>
    </row>
    <row r="23" ht="39" customHeight="1">
      <c r="A23" t="n">
        <v>2</v>
      </c>
      <c r="B23" t="inlineStr">
        <is>
          <t>68358749</t>
        </is>
      </c>
      <c r="C23" t="inlineStr">
        <is>
          <t>99PRD010590</t>
        </is>
      </c>
      <c r="D23" t="inlineStr">
        <is>
          <t>APPLE RED DELICIOUS US EXTRA FANCY 125CT/40LB</t>
        </is>
      </c>
      <c r="E23" t="inlineStr"/>
      <c r="F23" s="142" t="inlineStr">
        <is>
          <t>kg</t>
        </is>
      </c>
      <c r="H23" t="n">
        <v>296</v>
      </c>
      <c r="I23" t="inlineStr">
        <is>
          <t>KG</t>
        </is>
      </c>
      <c r="J23" t="n">
        <v>1.26</v>
      </c>
      <c r="K23" t="inlineStr">
        <is>
          <t>JPY</t>
        </is>
      </c>
      <c r="L23">
        <f>H23*J23</f>
        <v/>
      </c>
    </row>
    <row r="24" ht="39" customHeight="1">
      <c r="A24" t="n">
        <v>3</v>
      </c>
      <c r="B24" t="inlineStr">
        <is>
          <t>68358749</t>
        </is>
      </c>
      <c r="C24" t="inlineStr">
        <is>
          <t>99PRD010601</t>
        </is>
      </c>
      <c r="D24" t="inlineStr">
        <is>
          <t>ASPARAGUS GREEN LARGE</t>
        </is>
      </c>
      <c r="E24" t="inlineStr"/>
      <c r="F24" s="142" t="inlineStr">
        <is>
          <t>kg</t>
        </is>
      </c>
      <c r="H24" t="n">
        <v>225</v>
      </c>
      <c r="I24" t="inlineStr">
        <is>
          <t>KG</t>
        </is>
      </c>
      <c r="J24" t="n">
        <v>14.88</v>
      </c>
      <c r="K24" t="inlineStr">
        <is>
          <t>JPY</t>
        </is>
      </c>
      <c r="L24">
        <f>H24*J24</f>
        <v/>
      </c>
    </row>
    <row r="25" ht="39" customHeight="1">
      <c r="A25" t="n">
        <v>4</v>
      </c>
      <c r="B25" t="inlineStr">
        <is>
          <t>68358749</t>
        </is>
      </c>
      <c r="C25" t="inlineStr">
        <is>
          <t>99PRD010604</t>
        </is>
      </c>
      <c r="D25" t="inlineStr">
        <is>
          <t>AVOCADO HASS 3/4 RIPE 60CT #2</t>
        </is>
      </c>
      <c r="E25" t="inlineStr"/>
      <c r="F25" s="142" t="inlineStr">
        <is>
          <t>kg</t>
        </is>
      </c>
      <c r="H25" t="n">
        <v>173</v>
      </c>
      <c r="I25" t="inlineStr">
        <is>
          <t>KG</t>
        </is>
      </c>
      <c r="J25" t="n">
        <v>3.2</v>
      </c>
      <c r="K25" t="inlineStr">
        <is>
          <t>JPY</t>
        </is>
      </c>
      <c r="L25">
        <f>H25*J25</f>
        <v/>
      </c>
    </row>
    <row r="26" ht="39" customHeight="1">
      <c r="A26" t="n">
        <v>5</v>
      </c>
      <c r="B26" t="inlineStr">
        <is>
          <t>68358749</t>
        </is>
      </c>
      <c r="C26" t="inlineStr">
        <is>
          <t>99PRD010690</t>
        </is>
      </c>
      <c r="D26" t="inlineStr">
        <is>
          <t>BEET RED LARGE 25LB</t>
        </is>
      </c>
      <c r="E26" t="inlineStr"/>
      <c r="F26" s="142" t="inlineStr">
        <is>
          <t>kg</t>
        </is>
      </c>
      <c r="H26" t="n">
        <v>82</v>
      </c>
      <c r="I26" t="inlineStr">
        <is>
          <t>KG</t>
        </is>
      </c>
      <c r="J26" t="n">
        <v>1.4</v>
      </c>
      <c r="K26" t="inlineStr">
        <is>
          <t>JPY</t>
        </is>
      </c>
      <c r="L26">
        <f>H26*J26</f>
        <v/>
      </c>
    </row>
    <row r="27" ht="44.25" customHeight="1">
      <c r="A27" t="n">
        <v>6</v>
      </c>
      <c r="B27" t="inlineStr">
        <is>
          <t>68358749</t>
        </is>
      </c>
      <c r="C27" t="inlineStr">
        <is>
          <t>99PRD010717</t>
        </is>
      </c>
      <c r="D27" t="inlineStr">
        <is>
          <t>BROCCOLI WHOLE STALK 2-3 INCH 14CT/20LB</t>
        </is>
      </c>
      <c r="E27" t="inlineStr"/>
      <c r="F27" s="142" t="inlineStr">
        <is>
          <t>kg</t>
        </is>
      </c>
      <c r="H27" t="n">
        <v>637</v>
      </c>
      <c r="I27" t="inlineStr">
        <is>
          <t>KG</t>
        </is>
      </c>
      <c r="J27" t="n">
        <v>2.84</v>
      </c>
      <c r="K27" t="inlineStr">
        <is>
          <t>JPY</t>
        </is>
      </c>
      <c r="L27">
        <f>H27*J27</f>
        <v/>
      </c>
    </row>
    <row r="28" ht="46.5" customHeight="1">
      <c r="A28" t="n">
        <v>7</v>
      </c>
      <c r="B28" t="inlineStr">
        <is>
          <t>68358749</t>
        </is>
      </c>
      <c r="C28" t="inlineStr">
        <is>
          <t>99PRD010727</t>
        </is>
      </c>
      <c r="D28" t="inlineStr">
        <is>
          <t>CABBAGE BOK CHOY BABY</t>
        </is>
      </c>
      <c r="E28" t="inlineStr"/>
      <c r="F28" s="142" t="inlineStr">
        <is>
          <t>kg</t>
        </is>
      </c>
      <c r="H28" t="n">
        <v>23</v>
      </c>
      <c r="I28" t="inlineStr">
        <is>
          <t>KG</t>
        </is>
      </c>
      <c r="J28" t="n">
        <v>3.46</v>
      </c>
      <c r="K28" t="inlineStr">
        <is>
          <t>JPY</t>
        </is>
      </c>
      <c r="L28">
        <f>H28*J28</f>
        <v/>
      </c>
    </row>
    <row r="29" ht="46.5" customHeight="1">
      <c r="A29" t="n">
        <v>8</v>
      </c>
      <c r="B29" t="inlineStr">
        <is>
          <t>68358749</t>
        </is>
      </c>
      <c r="C29" t="inlineStr">
        <is>
          <t>99PRD010728</t>
        </is>
      </c>
      <c r="D29" t="inlineStr">
        <is>
          <t>CABBAGE NAPA</t>
        </is>
      </c>
      <c r="E29" t="inlineStr"/>
      <c r="F29" s="142" t="inlineStr">
        <is>
          <t>kg</t>
        </is>
      </c>
      <c r="H29" t="n">
        <v>150</v>
      </c>
      <c r="I29" t="inlineStr">
        <is>
          <t>KG</t>
        </is>
      </c>
      <c r="J29" t="n">
        <v>1.68</v>
      </c>
      <c r="K29" t="inlineStr">
        <is>
          <t>JPY</t>
        </is>
      </c>
      <c r="L29">
        <f>H29*J29</f>
        <v/>
      </c>
    </row>
    <row r="30" ht="46.5" customHeight="1">
      <c r="A30" t="n">
        <v>9</v>
      </c>
      <c r="B30" t="inlineStr">
        <is>
          <t>68358749</t>
        </is>
      </c>
      <c r="C30" t="inlineStr">
        <is>
          <t>99PRD010730</t>
        </is>
      </c>
      <c r="D30" t="inlineStr">
        <is>
          <t>CABBAGE GREEN</t>
        </is>
      </c>
      <c r="E30" t="inlineStr"/>
      <c r="F30" s="142" t="inlineStr">
        <is>
          <t>kg</t>
        </is>
      </c>
      <c r="H30" t="n">
        <v>296</v>
      </c>
      <c r="I30" t="inlineStr">
        <is>
          <t>KG</t>
        </is>
      </c>
      <c r="J30" t="n">
        <v>4.99</v>
      </c>
      <c r="K30" t="inlineStr">
        <is>
          <t>JPY</t>
        </is>
      </c>
      <c r="L30">
        <f>H30*J30</f>
        <v/>
      </c>
    </row>
    <row r="31" ht="46.5" customHeight="1">
      <c r="A31" t="n">
        <v>10</v>
      </c>
      <c r="B31" t="inlineStr">
        <is>
          <t>68358749</t>
        </is>
      </c>
      <c r="C31" t="inlineStr">
        <is>
          <t>99PRD010745</t>
        </is>
      </c>
      <c r="D31" t="inlineStr">
        <is>
          <t>CARROT BABY WHOLE PEELED WITH GREEN TOP</t>
        </is>
      </c>
      <c r="E31" t="inlineStr"/>
      <c r="F31" s="142" t="inlineStr">
        <is>
          <t>kg</t>
        </is>
      </c>
      <c r="H31" t="n">
        <v>35</v>
      </c>
      <c r="I31" t="inlineStr">
        <is>
          <t>KG</t>
        </is>
      </c>
      <c r="J31" t="n">
        <v>28</v>
      </c>
      <c r="K31" t="inlineStr">
        <is>
          <t>JPY</t>
        </is>
      </c>
      <c r="L31">
        <f>H31*J31</f>
        <v/>
      </c>
    </row>
    <row r="32" ht="46.5" customHeight="1">
      <c r="A32" t="n">
        <v>11</v>
      </c>
      <c r="B32" t="inlineStr">
        <is>
          <t>68358749</t>
        </is>
      </c>
      <c r="C32" t="inlineStr">
        <is>
          <t>99PRD010748</t>
        </is>
      </c>
      <c r="D32" t="inlineStr">
        <is>
          <t>CARROT JUMBO</t>
        </is>
      </c>
      <c r="E32" t="inlineStr"/>
      <c r="F32" s="142" t="inlineStr">
        <is>
          <t>kg</t>
        </is>
      </c>
      <c r="H32" t="n">
        <v>1046</v>
      </c>
      <c r="I32" t="inlineStr">
        <is>
          <t>KG</t>
        </is>
      </c>
      <c r="J32" t="n">
        <v>0.76</v>
      </c>
      <c r="K32" t="inlineStr">
        <is>
          <t>JPY</t>
        </is>
      </c>
      <c r="L32">
        <f>H32*J32</f>
        <v/>
      </c>
    </row>
    <row r="33" ht="23.25" customHeight="1">
      <c r="A33" t="n">
        <v>12</v>
      </c>
      <c r="B33" t="inlineStr">
        <is>
          <t>68358749</t>
        </is>
      </c>
      <c r="C33" t="inlineStr">
        <is>
          <t>99PRD010750</t>
        </is>
      </c>
      <c r="D33" t="inlineStr">
        <is>
          <t>CAULIFLOWER 9-12CT/24LB</t>
        </is>
      </c>
      <c r="E33" t="inlineStr"/>
      <c r="F33" s="142" t="inlineStr">
        <is>
          <t>kg</t>
        </is>
      </c>
      <c r="H33" t="n">
        <v>500</v>
      </c>
      <c r="I33" t="inlineStr">
        <is>
          <t>KG</t>
        </is>
      </c>
      <c r="J33" t="n">
        <v>1.8</v>
      </c>
      <c r="K33" t="inlineStr">
        <is>
          <t>JPY</t>
        </is>
      </c>
      <c r="L33">
        <f>H33*J33</f>
        <v/>
      </c>
    </row>
    <row r="34" ht="23.25" customHeight="1">
      <c r="A34" t="n">
        <v>13</v>
      </c>
      <c r="B34" t="inlineStr">
        <is>
          <t>68358749</t>
        </is>
      </c>
      <c r="C34" t="inlineStr">
        <is>
          <t>99PRD010762</t>
        </is>
      </c>
      <c r="D34" t="inlineStr">
        <is>
          <t>CELERY TABLE WASHED 36CT/55LB</t>
        </is>
      </c>
      <c r="E34" t="inlineStr"/>
      <c r="F34" s="142" t="inlineStr">
        <is>
          <t>kg</t>
        </is>
      </c>
      <c r="H34" t="n">
        <v>173</v>
      </c>
      <c r="I34" t="inlineStr">
        <is>
          <t>KG</t>
        </is>
      </c>
      <c r="J34" t="n">
        <v>1.32</v>
      </c>
      <c r="K34" t="inlineStr">
        <is>
          <t>JPY</t>
        </is>
      </c>
      <c r="L34">
        <f>H34*J34</f>
        <v/>
      </c>
    </row>
    <row r="35" ht="23.25" customHeight="1">
      <c r="A35" t="n">
        <v>14</v>
      </c>
      <c r="B35" t="inlineStr">
        <is>
          <t>68358749</t>
        </is>
      </c>
      <c r="C35" t="inlineStr">
        <is>
          <t>99PRD010964</t>
        </is>
      </c>
      <c r="D35" t="inlineStr">
        <is>
          <t>CUCUMBER SELECT 84CT/50LB</t>
        </is>
      </c>
      <c r="E35" t="inlineStr"/>
      <c r="F35" s="142" t="inlineStr">
        <is>
          <t>kg</t>
        </is>
      </c>
      <c r="H35" t="n">
        <v>500</v>
      </c>
      <c r="I35" t="inlineStr">
        <is>
          <t>KG</t>
        </is>
      </c>
      <c r="J35" t="n">
        <v>1.11</v>
      </c>
      <c r="K35" t="inlineStr">
        <is>
          <t>JPY</t>
        </is>
      </c>
      <c r="L35">
        <f>H35*J35</f>
        <v/>
      </c>
    </row>
    <row r="36" ht="49.5" customHeight="1">
      <c r="A36" t="n">
        <v>15</v>
      </c>
      <c r="B36" t="inlineStr">
        <is>
          <t>68358749</t>
        </is>
      </c>
      <c r="C36" t="inlineStr">
        <is>
          <t>99PRD011142</t>
        </is>
      </c>
      <c r="D36" t="inlineStr">
        <is>
          <t>GINGER LARGE HAND</t>
        </is>
      </c>
      <c r="E36" t="inlineStr"/>
      <c r="F36" s="142" t="inlineStr">
        <is>
          <t>kg</t>
        </is>
      </c>
      <c r="H36" t="n">
        <v>50</v>
      </c>
      <c r="I36" t="inlineStr">
        <is>
          <t>KG</t>
        </is>
      </c>
      <c r="J36" t="n">
        <v>6.7</v>
      </c>
      <c r="K36" t="inlineStr">
        <is>
          <t>JPY</t>
        </is>
      </c>
      <c r="L36">
        <f>H36*J36</f>
        <v/>
      </c>
    </row>
    <row r="37" ht="34" customHeight="1">
      <c r="A37" t="n">
        <v>16</v>
      </c>
      <c r="B37" t="inlineStr">
        <is>
          <t>68358749</t>
        </is>
      </c>
      <c r="C37" t="inlineStr">
        <is>
          <t>99PRD011159</t>
        </is>
      </c>
      <c r="D37" t="inlineStr">
        <is>
          <t>GRAPES BLACK SEEDLESS MEDIUM</t>
        </is>
      </c>
      <c r="E37" t="inlineStr"/>
      <c r="F37" s="142" t="inlineStr">
        <is>
          <t>kg</t>
        </is>
      </c>
      <c r="H37" t="n">
        <v>40</v>
      </c>
      <c r="I37" t="inlineStr">
        <is>
          <t>KG</t>
        </is>
      </c>
      <c r="J37" t="n">
        <v>4</v>
      </c>
      <c r="K37" t="inlineStr">
        <is>
          <t>JPY</t>
        </is>
      </c>
      <c r="L37">
        <f>H37*J37</f>
        <v/>
      </c>
    </row>
    <row r="38" ht="25.5" customHeight="1">
      <c r="A38" t="n">
        <v>17</v>
      </c>
      <c r="B38" t="inlineStr">
        <is>
          <t>68358749</t>
        </is>
      </c>
      <c r="C38" t="inlineStr">
        <is>
          <t>99PRD011160</t>
        </is>
      </c>
      <c r="D38" t="inlineStr">
        <is>
          <t>GRAPES RED SEEDLESS MEDIUM</t>
        </is>
      </c>
      <c r="E38" t="inlineStr"/>
      <c r="F38" s="142" t="inlineStr">
        <is>
          <t>kg</t>
        </is>
      </c>
      <c r="H38" t="n">
        <v>228</v>
      </c>
      <c r="I38" t="inlineStr">
        <is>
          <t>KG</t>
        </is>
      </c>
      <c r="J38" t="n">
        <v>4</v>
      </c>
      <c r="K38" t="inlineStr">
        <is>
          <t>JPY</t>
        </is>
      </c>
      <c r="L38">
        <f>H38*J38</f>
        <v/>
      </c>
    </row>
    <row r="39" ht="25.5" customHeight="1">
      <c r="A39" t="n">
        <v>18</v>
      </c>
      <c r="B39" t="inlineStr">
        <is>
          <t>68358749</t>
        </is>
      </c>
      <c r="C39" t="inlineStr">
        <is>
          <t>99PRD011161</t>
        </is>
      </c>
      <c r="D39" t="inlineStr">
        <is>
          <t>GRAPES GREEN SEEDLESS MEDIUM</t>
        </is>
      </c>
      <c r="E39" t="inlineStr"/>
      <c r="F39" s="142" t="inlineStr">
        <is>
          <t>kg</t>
        </is>
      </c>
      <c r="H39" t="n">
        <v>173</v>
      </c>
      <c r="I39" t="inlineStr">
        <is>
          <t>KG</t>
        </is>
      </c>
      <c r="J39" t="n">
        <v>4</v>
      </c>
      <c r="K39" t="inlineStr">
        <is>
          <t>JPY</t>
        </is>
      </c>
      <c r="L39">
        <f>H39*J39</f>
        <v/>
      </c>
    </row>
    <row r="40" ht="24" customHeight="1">
      <c r="A40" t="n">
        <v>19</v>
      </c>
      <c r="B40" t="inlineStr">
        <is>
          <t>68358749</t>
        </is>
      </c>
      <c r="C40" t="inlineStr">
        <is>
          <t>99PRD011162</t>
        </is>
      </c>
      <c r="D40" t="inlineStr">
        <is>
          <t>GRAPEFRUIT STAR RUBY 48CT/35LB</t>
        </is>
      </c>
      <c r="E40" t="inlineStr"/>
      <c r="F40" s="142" t="inlineStr">
        <is>
          <t>kg</t>
        </is>
      </c>
      <c r="H40" t="n">
        <v>682</v>
      </c>
      <c r="I40" t="inlineStr">
        <is>
          <t>KG</t>
        </is>
      </c>
      <c r="J40" t="n">
        <v>1.48</v>
      </c>
      <c r="K40" t="inlineStr">
        <is>
          <t>JPY</t>
        </is>
      </c>
      <c r="L40">
        <f>H40*J40</f>
        <v/>
      </c>
    </row>
    <row r="41" ht="24" customHeight="1">
      <c r="A41" t="n">
        <v>20</v>
      </c>
      <c r="B41" t="inlineStr">
        <is>
          <t>68358749</t>
        </is>
      </c>
      <c r="C41" t="inlineStr">
        <is>
          <t>99PRD011177</t>
        </is>
      </c>
      <c r="D41" t="inlineStr">
        <is>
          <t>HERB CILANTRO 30CT/8LB</t>
        </is>
      </c>
      <c r="E41" t="inlineStr"/>
      <c r="F41" s="142" t="inlineStr">
        <is>
          <t>kg</t>
        </is>
      </c>
      <c r="H41" t="n">
        <v>30</v>
      </c>
      <c r="I41" t="inlineStr">
        <is>
          <t>KG</t>
        </is>
      </c>
      <c r="J41" t="n">
        <v>13.59</v>
      </c>
      <c r="K41" t="inlineStr">
        <is>
          <t>JPY</t>
        </is>
      </c>
      <c r="L41">
        <f>H41*J41</f>
        <v/>
      </c>
    </row>
    <row r="42" ht="25.5" customHeight="1">
      <c r="A42" t="n">
        <v>21</v>
      </c>
      <c r="B42" t="inlineStr">
        <is>
          <t>68358749</t>
        </is>
      </c>
      <c r="C42" t="inlineStr">
        <is>
          <t>99PRD011178</t>
        </is>
      </c>
      <c r="D42" t="inlineStr">
        <is>
          <t>HERB DILL</t>
        </is>
      </c>
      <c r="E42" t="inlineStr"/>
      <c r="F42" s="142" t="inlineStr">
        <is>
          <t>kg</t>
        </is>
      </c>
      <c r="H42" t="n">
        <v>5</v>
      </c>
      <c r="I42" t="inlineStr">
        <is>
          <t>KG</t>
        </is>
      </c>
      <c r="J42" t="n">
        <v>16.98</v>
      </c>
      <c r="K42" t="inlineStr">
        <is>
          <t>JPY</t>
        </is>
      </c>
      <c r="L42">
        <f>H42*J42</f>
        <v/>
      </c>
    </row>
    <row r="43" ht="24" customHeight="1">
      <c r="A43" t="n">
        <v>22</v>
      </c>
      <c r="B43" t="inlineStr">
        <is>
          <t>68358749</t>
        </is>
      </c>
      <c r="C43" t="inlineStr">
        <is>
          <t>99PRD011179</t>
        </is>
      </c>
      <c r="D43" t="inlineStr">
        <is>
          <t>HERB FENNEL/ANISE 24-30CT/35LB</t>
        </is>
      </c>
      <c r="E43" t="inlineStr"/>
      <c r="F43" s="142" t="inlineStr">
        <is>
          <t>kg</t>
        </is>
      </c>
      <c r="H43" t="n">
        <v>55</v>
      </c>
      <c r="I43" t="inlineStr">
        <is>
          <t>KG</t>
        </is>
      </c>
      <c r="J43" t="n">
        <v>2.79</v>
      </c>
      <c r="K43" t="inlineStr">
        <is>
          <t>JPY</t>
        </is>
      </c>
      <c r="L43">
        <f>H43*J43</f>
        <v/>
      </c>
    </row>
    <row r="44" ht="24" customHeight="1">
      <c r="A44" t="n">
        <v>23</v>
      </c>
      <c r="B44" t="inlineStr">
        <is>
          <t>68358749</t>
        </is>
      </c>
      <c r="C44" t="inlineStr">
        <is>
          <t>99PRD011181</t>
        </is>
      </c>
      <c r="D44" t="inlineStr">
        <is>
          <t>HERB LEMONGRASS</t>
        </is>
      </c>
      <c r="E44" t="inlineStr"/>
      <c r="F44" s="142" t="inlineStr">
        <is>
          <t>kg</t>
        </is>
      </c>
      <c r="H44" t="n">
        <v>12</v>
      </c>
      <c r="I44" t="inlineStr">
        <is>
          <t>KG</t>
        </is>
      </c>
      <c r="J44" t="n">
        <v>7.99</v>
      </c>
      <c r="K44" t="inlineStr">
        <is>
          <t>JPY</t>
        </is>
      </c>
      <c r="L44">
        <f>H44*J44</f>
        <v/>
      </c>
    </row>
    <row r="45" ht="26" customHeight="1">
      <c r="A45" t="n">
        <v>24</v>
      </c>
      <c r="B45" t="inlineStr">
        <is>
          <t>68358749</t>
        </is>
      </c>
      <c r="C45" t="inlineStr">
        <is>
          <t>99PRD011183</t>
        </is>
      </c>
      <c r="D45" t="inlineStr">
        <is>
          <t>HERB MINT</t>
        </is>
      </c>
      <c r="E45" t="inlineStr"/>
      <c r="F45" s="142" t="inlineStr">
        <is>
          <t>kg</t>
        </is>
      </c>
      <c r="H45" t="n">
        <v>23</v>
      </c>
      <c r="I45" t="inlineStr">
        <is>
          <t>KG</t>
        </is>
      </c>
      <c r="J45" t="n">
        <v>15.99</v>
      </c>
      <c r="K45" t="inlineStr">
        <is>
          <t>JPY</t>
        </is>
      </c>
      <c r="L45">
        <f>H45*J45</f>
        <v/>
      </c>
    </row>
    <row r="46" ht="24" customHeight="1">
      <c r="A46" t="n">
        <v>25</v>
      </c>
      <c r="B46" t="inlineStr">
        <is>
          <t>68358749</t>
        </is>
      </c>
      <c r="C46" t="inlineStr">
        <is>
          <t>99PRD011186</t>
        </is>
      </c>
      <c r="D46" t="inlineStr">
        <is>
          <t>HERB PARSLEY ITALIAN FLAT 60CT</t>
        </is>
      </c>
      <c r="E46" t="inlineStr"/>
      <c r="F46" s="142" t="inlineStr">
        <is>
          <t>kg</t>
        </is>
      </c>
      <c r="H46" t="n">
        <v>28</v>
      </c>
      <c r="I46" t="inlineStr">
        <is>
          <t>KG</t>
        </is>
      </c>
      <c r="J46" t="n">
        <v>11</v>
      </c>
      <c r="K46" t="inlineStr">
        <is>
          <t>JPY</t>
        </is>
      </c>
      <c r="L46">
        <f>H46*J46</f>
        <v/>
      </c>
    </row>
    <row r="47">
      <c r="A47" t="n">
        <v>26</v>
      </c>
      <c r="B47" t="inlineStr">
        <is>
          <t>68358749</t>
        </is>
      </c>
      <c r="C47" t="inlineStr">
        <is>
          <t>99PRD011187</t>
        </is>
      </c>
      <c r="D47" t="inlineStr">
        <is>
          <t>HERB ROSEMARY</t>
        </is>
      </c>
      <c r="E47" t="inlineStr"/>
      <c r="F47" s="142" t="inlineStr">
        <is>
          <t>kg</t>
        </is>
      </c>
      <c r="H47" t="n">
        <v>5</v>
      </c>
      <c r="I47" t="inlineStr">
        <is>
          <t>KG</t>
        </is>
      </c>
      <c r="J47" t="n">
        <v>28</v>
      </c>
      <c r="K47" t="inlineStr">
        <is>
          <t>JPY</t>
        </is>
      </c>
      <c r="L47">
        <f>H47*J47</f>
        <v/>
      </c>
    </row>
    <row r="48">
      <c r="A48" t="n">
        <v>27</v>
      </c>
      <c r="B48" t="inlineStr">
        <is>
          <t>68358749</t>
        </is>
      </c>
      <c r="C48" t="inlineStr">
        <is>
          <t>99PRD011188</t>
        </is>
      </c>
      <c r="D48" t="inlineStr">
        <is>
          <t>HERB SAGE</t>
        </is>
      </c>
      <c r="E48" t="inlineStr"/>
      <c r="F48" s="142" t="inlineStr">
        <is>
          <t>kg</t>
        </is>
      </c>
      <c r="H48" t="n">
        <v>4</v>
      </c>
      <c r="I48" t="inlineStr">
        <is>
          <t>KG</t>
        </is>
      </c>
      <c r="J48" t="n">
        <v>34.99</v>
      </c>
      <c r="K48" t="inlineStr">
        <is>
          <t>JPY</t>
        </is>
      </c>
      <c r="L48">
        <f>H48*J48</f>
        <v/>
      </c>
    </row>
    <row r="49">
      <c r="A49" t="n">
        <v>28</v>
      </c>
      <c r="B49" t="inlineStr">
        <is>
          <t>68358749</t>
        </is>
      </c>
      <c r="C49" t="inlineStr">
        <is>
          <t>99PRD011269</t>
        </is>
      </c>
      <c r="D49" t="inlineStr">
        <is>
          <t>KIWIFRUIT 20LB</t>
        </is>
      </c>
      <c r="E49" t="inlineStr"/>
      <c r="F49" s="142" t="inlineStr">
        <is>
          <t>kg</t>
        </is>
      </c>
      <c r="H49" t="n">
        <v>114</v>
      </c>
      <c r="I49" t="inlineStr">
        <is>
          <t>KG</t>
        </is>
      </c>
      <c r="J49" t="n">
        <v>4.42</v>
      </c>
      <c r="K49" t="inlineStr">
        <is>
          <t>JPY</t>
        </is>
      </c>
      <c r="L49">
        <f>H49*J49</f>
        <v/>
      </c>
    </row>
    <row r="50">
      <c r="A50" t="n">
        <v>29</v>
      </c>
      <c r="B50" t="inlineStr">
        <is>
          <t>68358749</t>
        </is>
      </c>
      <c r="C50" t="inlineStr">
        <is>
          <t>99PRD011337</t>
        </is>
      </c>
      <c r="D50" t="inlineStr">
        <is>
          <t>LEMON CHOICE 235CT/38LB</t>
        </is>
      </c>
      <c r="E50" t="inlineStr"/>
      <c r="F50" s="142" t="inlineStr">
        <is>
          <t>kg</t>
        </is>
      </c>
      <c r="H50" t="n">
        <v>591</v>
      </c>
      <c r="I50" t="inlineStr">
        <is>
          <t>KG</t>
        </is>
      </c>
      <c r="J50" t="n">
        <v>2.4</v>
      </c>
      <c r="K50" t="inlineStr">
        <is>
          <t>JPY</t>
        </is>
      </c>
      <c r="L50">
        <f>H50*J50</f>
        <v/>
      </c>
    </row>
    <row r="51">
      <c r="A51" t="n">
        <v>30</v>
      </c>
      <c r="B51" t="inlineStr">
        <is>
          <t>68358749</t>
        </is>
      </c>
      <c r="C51" t="inlineStr">
        <is>
          <t>99PRD011341</t>
        </is>
      </c>
      <c r="D51" t="inlineStr">
        <is>
          <t>LETTUCE ARUGULA BABY</t>
        </is>
      </c>
      <c r="E51" t="inlineStr"/>
      <c r="F51" s="142" t="n"/>
      <c r="H51" t="n">
        <v>55</v>
      </c>
      <c r="I51" t="inlineStr">
        <is>
          <t>kg</t>
        </is>
      </c>
      <c r="J51" t="n">
        <v>3.79</v>
      </c>
      <c r="K51" t="inlineStr">
        <is>
          <t>JPY</t>
        </is>
      </c>
      <c r="L51">
        <f>H51*J51</f>
        <v/>
      </c>
    </row>
    <row r="52">
      <c r="A52" t="n">
        <v>31</v>
      </c>
      <c r="B52" t="inlineStr">
        <is>
          <t>68358749</t>
        </is>
      </c>
      <c r="C52" t="inlineStr">
        <is>
          <t>99PRD011345</t>
        </is>
      </c>
      <c r="D52" t="inlineStr">
        <is>
          <t>LETTUCE ENDIVE BELGIUM GREEN</t>
        </is>
      </c>
      <c r="E52" t="inlineStr"/>
      <c r="F52" s="142" t="inlineStr">
        <is>
          <t>kg</t>
        </is>
      </c>
      <c r="H52" t="n">
        <v>10</v>
      </c>
      <c r="I52" t="inlineStr">
        <is>
          <t>KG</t>
        </is>
      </c>
      <c r="J52" t="n">
        <v>3.66</v>
      </c>
      <c r="K52" t="inlineStr">
        <is>
          <t>JPY</t>
        </is>
      </c>
      <c r="L52">
        <f>H52*J52</f>
        <v/>
      </c>
    </row>
    <row r="53">
      <c r="A53" t="n">
        <v>32</v>
      </c>
      <c r="B53" t="inlineStr">
        <is>
          <t>68358749</t>
        </is>
      </c>
      <c r="C53" t="inlineStr">
        <is>
          <t>99PRD011349</t>
        </is>
      </c>
      <c r="D53" t="inlineStr">
        <is>
          <t>LETTUCE ICEBERG 24CT/50LB</t>
        </is>
      </c>
      <c r="E53" t="inlineStr"/>
      <c r="F53" s="142" t="inlineStr">
        <is>
          <t>kg</t>
        </is>
      </c>
      <c r="H53" t="n">
        <v>341</v>
      </c>
      <c r="I53" t="inlineStr">
        <is>
          <t>KG</t>
        </is>
      </c>
      <c r="J53" t="n">
        <v>1.85</v>
      </c>
      <c r="K53" t="inlineStr">
        <is>
          <t>JPY</t>
        </is>
      </c>
      <c r="L53">
        <f>H53*J53</f>
        <v/>
      </c>
    </row>
    <row r="54">
      <c r="A54" t="n">
        <v>33</v>
      </c>
      <c r="B54" t="inlineStr">
        <is>
          <t>68358749</t>
        </is>
      </c>
      <c r="C54" t="inlineStr">
        <is>
          <t>99PRD011350</t>
        </is>
      </c>
      <c r="D54" t="inlineStr">
        <is>
          <t>LETTUCE KALE GREEN</t>
        </is>
      </c>
      <c r="E54" t="inlineStr"/>
      <c r="F54" s="142" t="inlineStr">
        <is>
          <t>kg</t>
        </is>
      </c>
      <c r="H54" t="n">
        <v>23</v>
      </c>
      <c r="I54" t="inlineStr">
        <is>
          <t>KG</t>
        </is>
      </c>
      <c r="J54" t="n">
        <v>2.99</v>
      </c>
      <c r="K54" t="inlineStr">
        <is>
          <t>JPY</t>
        </is>
      </c>
      <c r="L54">
        <f>H54*J54</f>
        <v/>
      </c>
    </row>
    <row r="55">
      <c r="A55" t="n">
        <v>34</v>
      </c>
      <c r="B55" t="inlineStr">
        <is>
          <t>68358749</t>
        </is>
      </c>
      <c r="C55" t="inlineStr">
        <is>
          <t>99PRD011356</t>
        </is>
      </c>
      <c r="D55" t="inlineStr">
        <is>
          <t>LETTUCE ROMAINE 24CT/40LB</t>
        </is>
      </c>
      <c r="E55" t="inlineStr"/>
      <c r="F55" s="142" t="inlineStr">
        <is>
          <t>kg</t>
        </is>
      </c>
      <c r="H55" t="n">
        <v>637</v>
      </c>
      <c r="I55" t="inlineStr">
        <is>
          <t>KG</t>
        </is>
      </c>
      <c r="J55" t="n">
        <v>1.8</v>
      </c>
      <c r="K55" t="inlineStr">
        <is>
          <t>JPY</t>
        </is>
      </c>
      <c r="L55">
        <f>H55*J55</f>
        <v/>
      </c>
    </row>
    <row r="56">
      <c r="A56" t="n">
        <v>35</v>
      </c>
      <c r="B56" t="inlineStr">
        <is>
          <t>68358749</t>
        </is>
      </c>
      <c r="C56" t="inlineStr">
        <is>
          <t>99PRD011357</t>
        </is>
      </c>
      <c r="D56" t="inlineStr">
        <is>
          <t>LIME 250CT/38LB</t>
        </is>
      </c>
      <c r="E56" t="inlineStr"/>
      <c r="F56" s="142" t="inlineStr">
        <is>
          <t>kg</t>
        </is>
      </c>
      <c r="H56" t="n">
        <v>164</v>
      </c>
      <c r="I56" t="inlineStr">
        <is>
          <t>KG</t>
        </is>
      </c>
      <c r="J56" t="n">
        <v>3.8</v>
      </c>
      <c r="K56" t="inlineStr">
        <is>
          <t>JPY</t>
        </is>
      </c>
      <c r="L56">
        <f>H56*J56</f>
        <v/>
      </c>
    </row>
    <row r="57">
      <c r="A57" t="n">
        <v>36</v>
      </c>
      <c r="B57" t="inlineStr">
        <is>
          <t>68358749</t>
        </is>
      </c>
      <c r="C57" t="inlineStr">
        <is>
          <t>99PRD011371</t>
        </is>
      </c>
      <c r="D57" t="inlineStr">
        <is>
          <t>MANGO 3/4 RIPE 8-9CT/8LB</t>
        </is>
      </c>
      <c r="E57" t="inlineStr"/>
      <c r="F57" s="142" t="inlineStr">
        <is>
          <t>kg</t>
        </is>
      </c>
      <c r="H57" t="n">
        <v>150</v>
      </c>
      <c r="I57" t="inlineStr">
        <is>
          <t>KG</t>
        </is>
      </c>
      <c r="J57" t="n">
        <v>3.48</v>
      </c>
      <c r="K57" t="inlineStr">
        <is>
          <t>JPY</t>
        </is>
      </c>
      <c r="L57">
        <f>H57*J57</f>
        <v/>
      </c>
    </row>
    <row r="58">
      <c r="A58" t="n">
        <v>37</v>
      </c>
      <c r="B58" t="inlineStr">
        <is>
          <t>68358749</t>
        </is>
      </c>
      <c r="C58" t="inlineStr">
        <is>
          <t>99PRD011389</t>
        </is>
      </c>
      <c r="D58" t="inlineStr">
        <is>
          <t>MELON HONEYDEW JUMBO 5-6CT/35LB</t>
        </is>
      </c>
      <c r="E58" t="inlineStr"/>
      <c r="F58" s="142" t="inlineStr">
        <is>
          <t>kg</t>
        </is>
      </c>
      <c r="H58" t="n">
        <v>2046</v>
      </c>
      <c r="I58" t="inlineStr">
        <is>
          <t>KG</t>
        </is>
      </c>
      <c r="J58" t="n">
        <v>1.09</v>
      </c>
      <c r="K58" t="inlineStr">
        <is>
          <t>JPY</t>
        </is>
      </c>
      <c r="L58">
        <f>H58*J58</f>
        <v/>
      </c>
    </row>
    <row r="59">
      <c r="A59" t="n">
        <v>38</v>
      </c>
      <c r="B59" t="inlineStr">
        <is>
          <t>68358749</t>
        </is>
      </c>
      <c r="C59" t="inlineStr">
        <is>
          <t>99PRD011458</t>
        </is>
      </c>
      <c r="D59" t="inlineStr">
        <is>
          <t>MUSHROOM BUTTON EXPORT MEDIUM CLEANED</t>
        </is>
      </c>
      <c r="E59" t="inlineStr"/>
      <c r="F59" s="142" t="inlineStr">
        <is>
          <t>kg</t>
        </is>
      </c>
      <c r="H59" t="n">
        <v>841</v>
      </c>
      <c r="I59" t="inlineStr">
        <is>
          <t>KG</t>
        </is>
      </c>
      <c r="J59" t="n">
        <v>5.2</v>
      </c>
      <c r="K59" t="inlineStr">
        <is>
          <t>JPY</t>
        </is>
      </c>
      <c r="L59">
        <f>H59*J59</f>
        <v/>
      </c>
    </row>
    <row r="60">
      <c r="A60" t="n">
        <v>39</v>
      </c>
      <c r="B60" t="inlineStr">
        <is>
          <t>68358749</t>
        </is>
      </c>
      <c r="C60" t="inlineStr">
        <is>
          <t>99PRD011463</t>
        </is>
      </c>
      <c r="D60" t="inlineStr">
        <is>
          <t>MUSHROOM OYSTER FIRM</t>
        </is>
      </c>
      <c r="E60" t="inlineStr"/>
      <c r="F60" s="142" t="inlineStr">
        <is>
          <t>kg</t>
        </is>
      </c>
      <c r="H60" t="n">
        <v>5</v>
      </c>
      <c r="I60" t="inlineStr">
        <is>
          <t>KG</t>
        </is>
      </c>
      <c r="J60" t="n">
        <v>23.53</v>
      </c>
      <c r="K60" t="inlineStr">
        <is>
          <t>JPY</t>
        </is>
      </c>
      <c r="L60">
        <f>H60*J60</f>
        <v/>
      </c>
    </row>
    <row r="61">
      <c r="A61" t="n">
        <v>40</v>
      </c>
      <c r="B61" t="inlineStr">
        <is>
          <t>68358749</t>
        </is>
      </c>
      <c r="C61" t="inlineStr">
        <is>
          <t>99PRD011469</t>
        </is>
      </c>
      <c r="D61" t="inlineStr">
        <is>
          <t>MUSHROOM SHITAKE CLEAN #2</t>
        </is>
      </c>
      <c r="E61" t="inlineStr"/>
      <c r="F61" s="142" t="inlineStr">
        <is>
          <t>kg</t>
        </is>
      </c>
      <c r="H61" t="n">
        <v>7</v>
      </c>
      <c r="I61" t="inlineStr">
        <is>
          <t>KG</t>
        </is>
      </c>
      <c r="J61" t="n">
        <v>17.88</v>
      </c>
      <c r="K61" t="inlineStr">
        <is>
          <t>JPY</t>
        </is>
      </c>
      <c r="L61">
        <f>H61*J61</f>
        <v/>
      </c>
    </row>
    <row r="62">
      <c r="A62" t="n">
        <v>41</v>
      </c>
      <c r="B62" t="inlineStr">
        <is>
          <t>68358749</t>
        </is>
      </c>
      <c r="C62" t="inlineStr">
        <is>
          <t>99PRD011551</t>
        </is>
      </c>
      <c r="D62" t="inlineStr">
        <is>
          <t>ONION RED MEDIUM</t>
        </is>
      </c>
      <c r="E62" t="inlineStr"/>
      <c r="F62" s="142" t="inlineStr">
        <is>
          <t>kg</t>
        </is>
      </c>
      <c r="H62" t="n">
        <v>273</v>
      </c>
      <c r="I62" t="inlineStr">
        <is>
          <t>KG</t>
        </is>
      </c>
      <c r="J62" t="n">
        <v>1.39</v>
      </c>
      <c r="K62" t="inlineStr">
        <is>
          <t>JPY</t>
        </is>
      </c>
      <c r="L62">
        <f>H62*J62</f>
        <v/>
      </c>
    </row>
    <row r="63">
      <c r="A63" t="n">
        <v>42</v>
      </c>
      <c r="B63" t="inlineStr">
        <is>
          <t>68358749</t>
        </is>
      </c>
      <c r="C63" t="inlineStr">
        <is>
          <t>99PRD011646</t>
        </is>
      </c>
      <c r="D63" t="inlineStr">
        <is>
          <t>PEPPER BELL GREEN CHOICE</t>
        </is>
      </c>
      <c r="E63" t="inlineStr"/>
      <c r="F63" s="142" t="inlineStr">
        <is>
          <t>kg</t>
        </is>
      </c>
      <c r="H63" t="n">
        <v>455</v>
      </c>
      <c r="I63" t="inlineStr">
        <is>
          <t>KG</t>
        </is>
      </c>
      <c r="J63" t="n">
        <v>3</v>
      </c>
      <c r="K63" t="inlineStr">
        <is>
          <t>JPY</t>
        </is>
      </c>
      <c r="L63">
        <f>H63*J63</f>
        <v/>
      </c>
    </row>
    <row r="64">
      <c r="A64" t="n">
        <v>43</v>
      </c>
      <c r="B64" t="inlineStr">
        <is>
          <t>68358749</t>
        </is>
      </c>
      <c r="C64" t="inlineStr">
        <is>
          <t>99PRD011647</t>
        </is>
      </c>
      <c r="D64" t="inlineStr">
        <is>
          <t>PEPPER BELL RED CHOICE</t>
        </is>
      </c>
      <c r="E64" t="inlineStr"/>
      <c r="F64" s="142" t="inlineStr">
        <is>
          <t>kg</t>
        </is>
      </c>
      <c r="H64" t="n">
        <v>450</v>
      </c>
      <c r="I64" t="inlineStr">
        <is>
          <t>KG</t>
        </is>
      </c>
      <c r="J64" t="n">
        <v>2.99</v>
      </c>
      <c r="K64" t="inlineStr">
        <is>
          <t>JPY</t>
        </is>
      </c>
      <c r="L64">
        <f>H64*J64</f>
        <v/>
      </c>
    </row>
    <row r="65">
      <c r="A65" t="n">
        <v>44</v>
      </c>
      <c r="B65" t="inlineStr">
        <is>
          <t>68358749</t>
        </is>
      </c>
      <c r="C65" t="inlineStr">
        <is>
          <t>99PRD011648</t>
        </is>
      </c>
      <c r="D65" t="inlineStr">
        <is>
          <t>PEPPER BELL YELLOW CHOICE</t>
        </is>
      </c>
      <c r="E65" t="inlineStr"/>
      <c r="F65" s="142" t="inlineStr">
        <is>
          <t>kg</t>
        </is>
      </c>
      <c r="H65" t="n">
        <v>410</v>
      </c>
      <c r="I65" t="inlineStr">
        <is>
          <t>KG</t>
        </is>
      </c>
      <c r="J65" t="n">
        <v>4</v>
      </c>
      <c r="K65" t="inlineStr">
        <is>
          <t>JPY</t>
        </is>
      </c>
      <c r="L65">
        <f>H65*J65</f>
        <v/>
      </c>
    </row>
    <row r="66">
      <c r="A66" t="n">
        <v>45</v>
      </c>
      <c r="B66" t="inlineStr">
        <is>
          <t>68358749</t>
        </is>
      </c>
      <c r="C66" t="inlineStr">
        <is>
          <t>99PRD011712</t>
        </is>
      </c>
      <c r="D66" t="inlineStr">
        <is>
          <t>POTATO SWEET/YAMS GARNET MEDIUM</t>
        </is>
      </c>
      <c r="E66" t="inlineStr"/>
      <c r="F66" s="142" t="inlineStr">
        <is>
          <t>kg</t>
        </is>
      </c>
      <c r="H66" t="n">
        <v>150</v>
      </c>
      <c r="I66" t="inlineStr">
        <is>
          <t>KG</t>
        </is>
      </c>
      <c r="J66" t="n">
        <v>0.92</v>
      </c>
      <c r="K66" t="inlineStr">
        <is>
          <t>JPY</t>
        </is>
      </c>
      <c r="L66">
        <f>H66*J66</f>
        <v/>
      </c>
    </row>
    <row r="67">
      <c r="A67" t="n">
        <v>46</v>
      </c>
      <c r="B67" t="inlineStr">
        <is>
          <t>68358749</t>
        </is>
      </c>
      <c r="C67" t="inlineStr">
        <is>
          <t>99PRD011725</t>
        </is>
      </c>
      <c r="D67" t="inlineStr">
        <is>
          <t>PUMPKIN CALABAZA 6-8CT/50LB</t>
        </is>
      </c>
      <c r="E67" t="inlineStr"/>
      <c r="F67" s="142" t="inlineStr">
        <is>
          <t>kg</t>
        </is>
      </c>
      <c r="H67" t="n">
        <v>50</v>
      </c>
      <c r="I67" t="inlineStr">
        <is>
          <t>KG</t>
        </is>
      </c>
      <c r="J67" t="n">
        <v>0.95</v>
      </c>
      <c r="K67" t="inlineStr">
        <is>
          <t>JPY</t>
        </is>
      </c>
      <c r="L67">
        <f>H67*J67</f>
        <v/>
      </c>
    </row>
    <row r="68">
      <c r="A68" t="n">
        <v>47</v>
      </c>
      <c r="B68" t="inlineStr">
        <is>
          <t>68358749</t>
        </is>
      </c>
      <c r="C68" t="inlineStr">
        <is>
          <t>99PRD011738</t>
        </is>
      </c>
      <c r="D68" t="inlineStr">
        <is>
          <t>RADISH DAIKON</t>
        </is>
      </c>
      <c r="E68" t="inlineStr"/>
      <c r="F68" s="142" t="inlineStr">
        <is>
          <t>kg</t>
        </is>
      </c>
      <c r="H68" t="n">
        <v>10</v>
      </c>
      <c r="I68" t="inlineStr">
        <is>
          <t>KG</t>
        </is>
      </c>
      <c r="J68" t="n">
        <v>2.19</v>
      </c>
      <c r="K68" t="inlineStr">
        <is>
          <t>JPY</t>
        </is>
      </c>
      <c r="L68">
        <f>H68*J68</f>
        <v/>
      </c>
    </row>
    <row r="69">
      <c r="A69" t="n">
        <v>48</v>
      </c>
      <c r="B69" t="inlineStr">
        <is>
          <t>68358749</t>
        </is>
      </c>
      <c r="C69" t="inlineStr">
        <is>
          <t>99PRD012005</t>
        </is>
      </c>
      <c r="D69" t="inlineStr">
        <is>
          <t>SQUASH BUTTERNUT LARGE</t>
        </is>
      </c>
      <c r="E69" t="inlineStr"/>
      <c r="F69" s="142" t="inlineStr">
        <is>
          <t>kg</t>
        </is>
      </c>
      <c r="H69" t="n">
        <v>250</v>
      </c>
      <c r="I69" t="inlineStr">
        <is>
          <t>KG</t>
        </is>
      </c>
      <c r="J69" t="n">
        <v>1.1</v>
      </c>
      <c r="K69" t="inlineStr">
        <is>
          <t>JPY</t>
        </is>
      </c>
      <c r="L69">
        <f>H69*J69</f>
        <v/>
      </c>
    </row>
    <row r="70">
      <c r="A70" t="n">
        <v>49</v>
      </c>
      <c r="B70" t="inlineStr">
        <is>
          <t>68358749</t>
        </is>
      </c>
      <c r="C70" t="inlineStr">
        <is>
          <t>99PRD012009</t>
        </is>
      </c>
      <c r="D70" t="inlineStr">
        <is>
          <t>SQUASH ZUCCHINI BABY</t>
        </is>
      </c>
      <c r="E70" t="inlineStr"/>
      <c r="F70" s="142" t="inlineStr">
        <is>
          <t>kg</t>
        </is>
      </c>
      <c r="H70" t="n">
        <v>5</v>
      </c>
      <c r="I70" t="inlineStr">
        <is>
          <t>KG</t>
        </is>
      </c>
      <c r="J70" t="n">
        <v>16.22</v>
      </c>
      <c r="K70" t="inlineStr">
        <is>
          <t>JPY</t>
        </is>
      </c>
      <c r="L70">
        <f>H70*J70</f>
        <v/>
      </c>
    </row>
    <row r="71">
      <c r="A71" t="n">
        <v>50</v>
      </c>
      <c r="B71" t="inlineStr">
        <is>
          <t>68358749</t>
        </is>
      </c>
      <c r="C71" t="inlineStr">
        <is>
          <t>99PRD012010</t>
        </is>
      </c>
      <c r="D71" t="inlineStr">
        <is>
          <t>SQUASH ZUCCHINI GREEN MEDIUM #1</t>
        </is>
      </c>
      <c r="E71" t="inlineStr"/>
      <c r="F71" s="142" t="inlineStr">
        <is>
          <t>kg</t>
        </is>
      </c>
      <c r="H71" t="n">
        <v>364</v>
      </c>
      <c r="I71" t="inlineStr">
        <is>
          <t>KG</t>
        </is>
      </c>
      <c r="J71" t="n">
        <v>1.19</v>
      </c>
      <c r="K71" t="inlineStr">
        <is>
          <t>JPY</t>
        </is>
      </c>
      <c r="L71">
        <f>H71*J71</f>
        <v/>
      </c>
    </row>
    <row r="72">
      <c r="A72" t="n">
        <v>51</v>
      </c>
      <c r="B72" t="inlineStr">
        <is>
          <t>68358749</t>
        </is>
      </c>
      <c r="C72" t="inlineStr">
        <is>
          <t>99PRD012136</t>
        </is>
      </c>
      <c r="D72" t="inlineStr">
        <is>
          <t>LETTUCE WATERCRESS 24CT</t>
        </is>
      </c>
      <c r="E72" t="inlineStr"/>
      <c r="F72" s="142" t="inlineStr">
        <is>
          <t>kg</t>
        </is>
      </c>
      <c r="H72" t="n">
        <v>25</v>
      </c>
      <c r="I72" t="inlineStr">
        <is>
          <t>KG</t>
        </is>
      </c>
      <c r="J72" t="n">
        <v>11.69</v>
      </c>
      <c r="K72" t="inlineStr">
        <is>
          <t>JPY</t>
        </is>
      </c>
      <c r="L72">
        <f>H72*J72</f>
        <v/>
      </c>
    </row>
    <row r="73">
      <c r="A73" t="n">
        <v>52</v>
      </c>
      <c r="B73" t="inlineStr">
        <is>
          <t>68358749</t>
        </is>
      </c>
      <c r="C73" t="inlineStr">
        <is>
          <t>99PRD24612</t>
        </is>
      </c>
      <c r="D73" t="inlineStr">
        <is>
          <t>MUSHROOM ENOKI</t>
        </is>
      </c>
      <c r="E73" t="inlineStr"/>
      <c r="F73" s="142" t="inlineStr">
        <is>
          <t>kg</t>
        </is>
      </c>
      <c r="H73" t="n">
        <v>5</v>
      </c>
      <c r="I73" t="inlineStr">
        <is>
          <t>KG</t>
        </is>
      </c>
      <c r="J73" t="n">
        <v>8.99</v>
      </c>
      <c r="K73" t="inlineStr">
        <is>
          <t>JPY</t>
        </is>
      </c>
      <c r="L73">
        <f>H73*J73</f>
        <v/>
      </c>
    </row>
    <row r="74">
      <c r="A74" t="n">
        <v>53</v>
      </c>
      <c r="B74" t="inlineStr">
        <is>
          <t>68358749</t>
        </is>
      </c>
      <c r="C74" t="inlineStr">
        <is>
          <t>99PRD24659</t>
        </is>
      </c>
      <c r="D74" t="inlineStr">
        <is>
          <t>PEAS SUGAR SNAP STRINGLESS</t>
        </is>
      </c>
      <c r="E74" t="inlineStr"/>
      <c r="F74" s="142" t="inlineStr">
        <is>
          <t>kg</t>
        </is>
      </c>
      <c r="H74" t="n">
        <v>6</v>
      </c>
      <c r="I74" t="inlineStr">
        <is>
          <t>KG</t>
        </is>
      </c>
      <c r="J74" t="n">
        <v>16.99</v>
      </c>
      <c r="K74" t="inlineStr">
        <is>
          <t>JPY</t>
        </is>
      </c>
      <c r="L74">
        <f>H74*J74</f>
        <v/>
      </c>
    </row>
    <row r="75">
      <c r="A75" t="n">
        <v>54</v>
      </c>
      <c r="B75" t="inlineStr">
        <is>
          <t>68358749</t>
        </is>
      </c>
      <c r="C75" t="inlineStr">
        <is>
          <t>99PRD24660</t>
        </is>
      </c>
      <c r="D75" t="inlineStr">
        <is>
          <t>SWISS CHARD</t>
        </is>
      </c>
      <c r="E75" t="inlineStr"/>
      <c r="F75" s="142" t="inlineStr">
        <is>
          <t>kg</t>
        </is>
      </c>
      <c r="H75" t="n">
        <v>20</v>
      </c>
      <c r="I75" t="inlineStr">
        <is>
          <t>KG</t>
        </is>
      </c>
      <c r="J75" t="n">
        <v>5.39</v>
      </c>
      <c r="K75" t="inlineStr">
        <is>
          <t>JPY</t>
        </is>
      </c>
      <c r="L75">
        <f>H75*J75</f>
        <v/>
      </c>
    </row>
    <row r="76">
      <c r="A76" t="n">
        <v>55</v>
      </c>
      <c r="B76" t="inlineStr">
        <is>
          <t>68358749</t>
        </is>
      </c>
      <c r="C76" t="inlineStr">
        <is>
          <t>99PRD24664</t>
        </is>
      </c>
      <c r="D76" t="inlineStr">
        <is>
          <t>EGGPLANT JAPANESE</t>
        </is>
      </c>
      <c r="E76" t="inlineStr"/>
      <c r="F76" s="142" t="inlineStr">
        <is>
          <t>kg</t>
        </is>
      </c>
      <c r="H76" t="n">
        <v>30</v>
      </c>
      <c r="I76" t="inlineStr">
        <is>
          <t>KG</t>
        </is>
      </c>
      <c r="J76" t="n">
        <v>4.82</v>
      </c>
      <c r="K76" t="inlineStr">
        <is>
          <t>JPY</t>
        </is>
      </c>
      <c r="L76">
        <f>H76*J76</f>
        <v/>
      </c>
    </row>
    <row r="77">
      <c r="A77" t="n">
        <v>56</v>
      </c>
      <c r="B77" t="inlineStr">
        <is>
          <t>68358749</t>
        </is>
      </c>
      <c r="C77" t="inlineStr">
        <is>
          <t>99PRD30483</t>
        </is>
      </c>
      <c r="D77" t="inlineStr">
        <is>
          <t>MUSHROOM HAN SHIMEJI WHITE</t>
        </is>
      </c>
      <c r="E77" t="inlineStr"/>
      <c r="F77" s="142" t="inlineStr">
        <is>
          <t>kg</t>
        </is>
      </c>
      <c r="H77" t="n">
        <v>5</v>
      </c>
      <c r="I77" t="inlineStr">
        <is>
          <t>KG</t>
        </is>
      </c>
      <c r="J77" t="n">
        <v>17.88</v>
      </c>
      <c r="K77" t="inlineStr">
        <is>
          <t>JPY</t>
        </is>
      </c>
      <c r="L77">
        <f>H77*J77</f>
        <v/>
      </c>
    </row>
    <row r="78">
      <c r="A78" t="n">
        <v>57</v>
      </c>
      <c r="B78" t="inlineStr">
        <is>
          <t>68358749</t>
        </is>
      </c>
      <c r="C78" t="inlineStr">
        <is>
          <t>99PRD30484</t>
        </is>
      </c>
      <c r="D78" t="inlineStr">
        <is>
          <t>BEETROOT BABY RED 24BU CA</t>
        </is>
      </c>
      <c r="E78" t="inlineStr"/>
      <c r="F78" s="142" t="inlineStr">
        <is>
          <t>kg</t>
        </is>
      </c>
      <c r="H78" t="n">
        <v>28</v>
      </c>
      <c r="I78" t="inlineStr">
        <is>
          <t>KG</t>
        </is>
      </c>
      <c r="J78" t="n">
        <v>10</v>
      </c>
      <c r="K78" t="inlineStr">
        <is>
          <t>JPY</t>
        </is>
      </c>
      <c r="L78">
        <f>H78*J78</f>
        <v/>
      </c>
    </row>
    <row r="79">
      <c r="A79" t="n">
        <v>58</v>
      </c>
      <c r="B79" t="inlineStr">
        <is>
          <t>68358749</t>
        </is>
      </c>
      <c r="C79" t="inlineStr">
        <is>
          <t>99PRD30485</t>
        </is>
      </c>
      <c r="D79" t="inlineStr">
        <is>
          <t>BEET BABY YELLOW 24BU CA</t>
        </is>
      </c>
      <c r="E79" t="inlineStr"/>
      <c r="F79" s="142" t="inlineStr">
        <is>
          <t>kg</t>
        </is>
      </c>
      <c r="H79" t="n">
        <v>10</v>
      </c>
      <c r="I79" t="inlineStr">
        <is>
          <t>KG</t>
        </is>
      </c>
      <c r="J79" t="n">
        <v>10</v>
      </c>
      <c r="K79" t="inlineStr">
        <is>
          <t>JPY</t>
        </is>
      </c>
      <c r="L79">
        <f>H79*J79</f>
        <v/>
      </c>
    </row>
    <row r="80">
      <c r="A80" t="n">
        <v>59</v>
      </c>
      <c r="B80" t="inlineStr">
        <is>
          <t>68358749</t>
        </is>
      </c>
      <c r="C80" t="inlineStr">
        <is>
          <t>99PRD32051</t>
        </is>
      </c>
      <c r="D80" t="inlineStr">
        <is>
          <t>POTATO GOLD YUKON</t>
        </is>
      </c>
      <c r="E80" t="inlineStr"/>
      <c r="F80" s="142" t="inlineStr">
        <is>
          <t>kg</t>
        </is>
      </c>
      <c r="H80" t="n">
        <v>32</v>
      </c>
      <c r="I80" t="inlineStr">
        <is>
          <t>KG</t>
        </is>
      </c>
      <c r="J80" t="n">
        <v>1.9</v>
      </c>
      <c r="K80" t="inlineStr">
        <is>
          <t>JPY</t>
        </is>
      </c>
      <c r="L80">
        <f>H80*J80</f>
        <v/>
      </c>
    </row>
    <row r="81">
      <c r="A81" t="n">
        <v>60</v>
      </c>
      <c r="B81" t="inlineStr">
        <is>
          <t>68358749</t>
        </is>
      </c>
      <c r="C81" t="inlineStr">
        <is>
          <t>99PRD38600</t>
        </is>
      </c>
      <c r="D81" t="inlineStr">
        <is>
          <t>TOMATO HEIRLOOM STAGE 4</t>
        </is>
      </c>
      <c r="E81" t="inlineStr"/>
      <c r="F81" s="142" t="inlineStr">
        <is>
          <t>kg</t>
        </is>
      </c>
      <c r="H81" t="n">
        <v>30</v>
      </c>
      <c r="I81" t="inlineStr">
        <is>
          <t>KG</t>
        </is>
      </c>
      <c r="J81" t="n">
        <v>8.69</v>
      </c>
      <c r="K81" t="inlineStr">
        <is>
          <t>JPY</t>
        </is>
      </c>
      <c r="L81">
        <f>H81*J81</f>
        <v/>
      </c>
    </row>
    <row r="82">
      <c r="A82" t="n">
        <v>61</v>
      </c>
      <c r="B82" t="inlineStr">
        <is>
          <t>68358749</t>
        </is>
      </c>
      <c r="C82" t="inlineStr">
        <is>
          <t>99PRD41876</t>
        </is>
      </c>
      <c r="D82" t="inlineStr">
        <is>
          <t>MUSHROOM TRUMPET ROYALE</t>
        </is>
      </c>
      <c r="E82" t="inlineStr"/>
      <c r="F82" s="142" t="inlineStr">
        <is>
          <t>kg</t>
        </is>
      </c>
      <c r="H82" t="n">
        <v>5</v>
      </c>
      <c r="I82" t="inlineStr">
        <is>
          <t>KG</t>
        </is>
      </c>
      <c r="J82" t="n">
        <v>8.99</v>
      </c>
      <c r="K82" t="inlineStr">
        <is>
          <t>JPY</t>
        </is>
      </c>
      <c r="L82">
        <f>H82*J82</f>
        <v/>
      </c>
    </row>
    <row r="83">
      <c r="A83" t="n">
        <v>62</v>
      </c>
      <c r="B83" t="inlineStr">
        <is>
          <t>68358749</t>
        </is>
      </c>
      <c r="C83" t="inlineStr">
        <is>
          <t>99PRD44426</t>
        </is>
      </c>
      <c r="D83" t="inlineStr">
        <is>
          <t>MUSHROOM MAITAKE HEN OF THE WOODS</t>
        </is>
      </c>
      <c r="E83" t="inlineStr"/>
      <c r="F83" s="142" t="inlineStr">
        <is>
          <t>kg</t>
        </is>
      </c>
      <c r="H83" t="n">
        <v>4</v>
      </c>
      <c r="I83" t="inlineStr">
        <is>
          <t>KG</t>
        </is>
      </c>
      <c r="J83" t="n">
        <v>65</v>
      </c>
      <c r="K83" t="inlineStr">
        <is>
          <t>JPY</t>
        </is>
      </c>
      <c r="L83">
        <f>H83*J83</f>
        <v/>
      </c>
    </row>
    <row r="84">
      <c r="A84" t="n">
        <v>63</v>
      </c>
      <c r="B84" t="inlineStr">
        <is>
          <t>68358749</t>
        </is>
      </c>
      <c r="C84" t="inlineStr">
        <is>
          <t>99PRD45116</t>
        </is>
      </c>
      <c r="D84" t="inlineStr">
        <is>
          <t>HERB CILANTRO MICRO</t>
        </is>
      </c>
      <c r="E84" t="inlineStr"/>
      <c r="F84" s="142" t="inlineStr">
        <is>
          <t>kg</t>
        </is>
      </c>
      <c r="H84" t="n">
        <v>2</v>
      </c>
      <c r="I84" t="inlineStr">
        <is>
          <t>KG</t>
        </is>
      </c>
      <c r="J84" t="n">
        <v>11.99</v>
      </c>
      <c r="K84" t="inlineStr">
        <is>
          <t>JPY</t>
        </is>
      </c>
      <c r="L84">
        <f>H84*J84</f>
        <v/>
      </c>
    </row>
    <row r="85">
      <c r="A85" t="n">
        <v>64</v>
      </c>
      <c r="B85" t="inlineStr">
        <is>
          <t>68358749</t>
        </is>
      </c>
      <c r="C85" t="inlineStr">
        <is>
          <t>99PRD45806</t>
        </is>
      </c>
      <c r="D85" t="inlineStr">
        <is>
          <t>CARROT BABY MULTI-COLORED WITH TOP</t>
        </is>
      </c>
      <c r="E85" t="inlineStr"/>
      <c r="F85" s="142" t="inlineStr">
        <is>
          <t>kg</t>
        </is>
      </c>
      <c r="H85" t="n">
        <v>20</v>
      </c>
      <c r="I85" t="inlineStr">
        <is>
          <t>KG</t>
        </is>
      </c>
      <c r="J85" t="n">
        <v>11.99</v>
      </c>
      <c r="K85" t="inlineStr">
        <is>
          <t>JPY</t>
        </is>
      </c>
      <c r="L85">
        <f>H85*J85</f>
        <v/>
      </c>
    </row>
    <row r="86">
      <c r="A86" t="n">
        <v>65</v>
      </c>
      <c r="B86" t="inlineStr">
        <is>
          <t>68358749</t>
        </is>
      </c>
      <c r="C86" t="inlineStr">
        <is>
          <t>99PRD46501</t>
        </is>
      </c>
      <c r="D86" t="inlineStr">
        <is>
          <t>MELON WATERMELON SEEDLESS RED 65LB</t>
        </is>
      </c>
      <c r="E86" t="inlineStr"/>
      <c r="F86" s="142" t="inlineStr">
        <is>
          <t>kg</t>
        </is>
      </c>
      <c r="H86" t="n">
        <v>2728</v>
      </c>
      <c r="I86" t="inlineStr">
        <is>
          <t>KG</t>
        </is>
      </c>
      <c r="J86" t="n">
        <v>1.1</v>
      </c>
      <c r="K86" t="inlineStr">
        <is>
          <t>JPY</t>
        </is>
      </c>
      <c r="L86">
        <f>H86*J86</f>
        <v/>
      </c>
    </row>
    <row r="87">
      <c r="A87" t="n">
        <v>66</v>
      </c>
      <c r="B87" t="inlineStr">
        <is>
          <t>68358749</t>
        </is>
      </c>
      <c r="C87" t="inlineStr">
        <is>
          <t>99PRD47088</t>
        </is>
      </c>
      <c r="D87" t="inlineStr">
        <is>
          <t>PINEAPPLE CROWNLESS 12CT/40LB</t>
        </is>
      </c>
      <c r="E87" t="inlineStr"/>
      <c r="F87" s="142" t="inlineStr">
        <is>
          <t>kg</t>
        </is>
      </c>
      <c r="H87" t="n">
        <v>1637</v>
      </c>
      <c r="I87" t="inlineStr">
        <is>
          <t>KG</t>
        </is>
      </c>
      <c r="J87" t="n">
        <v>2.35</v>
      </c>
      <c r="K87" t="inlineStr">
        <is>
          <t>JPY</t>
        </is>
      </c>
      <c r="L87">
        <f>H87*J87</f>
        <v/>
      </c>
    </row>
    <row r="88">
      <c r="A88" t="n">
        <v>67</v>
      </c>
      <c r="B88" t="inlineStr">
        <is>
          <t>68358749</t>
        </is>
      </c>
      <c r="C88" t="inlineStr">
        <is>
          <t>99PRD47641</t>
        </is>
      </c>
      <c r="D88" t="inlineStr">
        <is>
          <t>BEET GOLD LARGE 25LB</t>
        </is>
      </c>
      <c r="E88" t="inlineStr"/>
      <c r="F88" s="142" t="inlineStr">
        <is>
          <t>kg</t>
        </is>
      </c>
      <c r="H88" t="n">
        <v>20</v>
      </c>
      <c r="I88" t="inlineStr">
        <is>
          <t>KG</t>
        </is>
      </c>
      <c r="J88" t="n">
        <v>6</v>
      </c>
      <c r="K88" t="inlineStr">
        <is>
          <t>JPY</t>
        </is>
      </c>
      <c r="L88">
        <f>H88*J88</f>
        <v/>
      </c>
    </row>
    <row r="89">
      <c r="A89" t="n">
        <v>68</v>
      </c>
      <c r="B89" t="inlineStr">
        <is>
          <t>68358749</t>
        </is>
      </c>
      <c r="C89" t="inlineStr">
        <is>
          <t>99PRD62406</t>
        </is>
      </c>
      <c r="D89" t="inlineStr">
        <is>
          <t>SWISS CHARD RAINBOW</t>
        </is>
      </c>
      <c r="E89" t="inlineStr"/>
      <c r="F89" s="142" t="inlineStr">
        <is>
          <t>kg</t>
        </is>
      </c>
      <c r="H89" t="n">
        <v>4</v>
      </c>
      <c r="I89" t="inlineStr">
        <is>
          <t>KG</t>
        </is>
      </c>
      <c r="J89" t="n">
        <v>5.39</v>
      </c>
      <c r="K89" t="inlineStr">
        <is>
          <t>JPY</t>
        </is>
      </c>
      <c r="L89">
        <f>H89*J89</f>
        <v/>
      </c>
    </row>
    <row r="90">
      <c r="A90" t="n">
        <v>69</v>
      </c>
      <c r="B90" t="inlineStr">
        <is>
          <t>68358749</t>
        </is>
      </c>
      <c r="C90" t="inlineStr">
        <is>
          <t>99PRD64715</t>
        </is>
      </c>
      <c r="D90" t="inlineStr">
        <is>
          <t>MICRO SEA BEANS</t>
        </is>
      </c>
      <c r="E90" t="inlineStr"/>
      <c r="F90" s="142" t="inlineStr">
        <is>
          <t>kg</t>
        </is>
      </c>
      <c r="H90" t="n">
        <v>2</v>
      </c>
      <c r="I90" t="inlineStr">
        <is>
          <t>KG</t>
        </is>
      </c>
      <c r="J90" t="n">
        <v>60</v>
      </c>
      <c r="K90" t="inlineStr">
        <is>
          <t>JPY</t>
        </is>
      </c>
      <c r="L90">
        <f>H90*J90</f>
        <v/>
      </c>
    </row>
    <row r="91">
      <c r="A91" t="n">
        <v>70</v>
      </c>
      <c r="B91" t="inlineStr">
        <is>
          <t>68358749</t>
        </is>
      </c>
      <c r="C91" t="inlineStr">
        <is>
          <t>99PRD64821</t>
        </is>
      </c>
      <c r="D91" t="inlineStr">
        <is>
          <t>TOMATO CHERRY ON VINE RED</t>
        </is>
      </c>
      <c r="E91" t="inlineStr"/>
      <c r="F91" s="142" t="inlineStr">
        <is>
          <t>kg</t>
        </is>
      </c>
      <c r="H91" t="n">
        <v>10</v>
      </c>
      <c r="I91" t="inlineStr">
        <is>
          <t>KG</t>
        </is>
      </c>
      <c r="J91" t="n">
        <v>7.12</v>
      </c>
      <c r="K91" t="inlineStr">
        <is>
          <t>JPY</t>
        </is>
      </c>
      <c r="L91">
        <f>H91*J91</f>
        <v/>
      </c>
    </row>
    <row r="92">
      <c r="A92" t="n">
        <v>71</v>
      </c>
      <c r="B92" t="inlineStr">
        <is>
          <t>68358749</t>
        </is>
      </c>
      <c r="C92" t="inlineStr">
        <is>
          <t>99PRD65125</t>
        </is>
      </c>
      <c r="D92" t="inlineStr">
        <is>
          <t>EGGPLANT THAI</t>
        </is>
      </c>
      <c r="E92" t="inlineStr"/>
      <c r="F92" s="142" t="inlineStr">
        <is>
          <t>kg</t>
        </is>
      </c>
      <c r="H92" t="n">
        <v>4</v>
      </c>
      <c r="I92" t="inlineStr">
        <is>
          <t>KG</t>
        </is>
      </c>
      <c r="J92" t="n">
        <v>6.99</v>
      </c>
      <c r="K92" t="inlineStr">
        <is>
          <t>JPY</t>
        </is>
      </c>
      <c r="L92">
        <f>H92*J92</f>
        <v/>
      </c>
    </row>
    <row r="93">
      <c r="A93" s="91" t="n"/>
      <c r="B93" s="92" t="n"/>
      <c r="C93" s="93" t="n"/>
      <c r="D93" s="94" t="n"/>
      <c r="E93" s="92" t="n"/>
      <c r="F93" s="92" t="n"/>
      <c r="G93" s="92" t="n"/>
      <c r="H93" s="91" t="n"/>
      <c r="I93" s="95" t="inlineStr">
        <is>
          <t>Sub Total</t>
        </is>
      </c>
      <c r="J93" s="143" t="n"/>
      <c r="K93" s="97" t="inlineStr">
        <is>
          <t>JPY</t>
        </is>
      </c>
      <c r="L93" s="98">
        <f>SUM(L22:L92)</f>
        <v/>
      </c>
      <c r="M93" s="125" t="n"/>
      <c r="N93" s="125" t="n"/>
      <c r="O93" s="125" t="n"/>
      <c r="P93" s="125" t="n"/>
      <c r="Q93" s="125" t="n"/>
    </row>
    <row r="94">
      <c r="A94" s="91" t="n"/>
      <c r="B94" s="99" t="n"/>
      <c r="C94" s="99" t="n"/>
      <c r="D94" s="99" t="n"/>
      <c r="E94" s="99" t="n"/>
      <c r="F94" s="99" t="n"/>
      <c r="G94" s="99" t="n"/>
      <c r="H94" s="91" t="n"/>
      <c r="I94" s="100" t="inlineStr">
        <is>
          <t>Tax</t>
        </is>
      </c>
      <c r="J94" s="140" t="n"/>
      <c r="K94" s="77" t="inlineStr">
        <is>
          <t>JPY</t>
        </is>
      </c>
      <c r="L94" s="78">
        <f>L93*0.08</f>
        <v/>
      </c>
      <c r="M94" s="125" t="n"/>
      <c r="N94" s="125" t="n"/>
      <c r="O94" s="125" t="n"/>
      <c r="P94" s="125" t="n"/>
      <c r="Q94" s="125" t="n"/>
    </row>
    <row r="95">
      <c r="A95" s="101" t="n"/>
      <c r="B95" s="99" t="n"/>
      <c r="C95" s="99" t="n"/>
      <c r="D95" s="99" t="n"/>
      <c r="E95" s="99" t="n"/>
      <c r="F95" s="99" t="n"/>
      <c r="G95" s="99" t="n"/>
      <c r="H95" s="101" t="n"/>
      <c r="I95" s="102" t="inlineStr">
        <is>
          <t>GRAND TOTAL</t>
        </is>
      </c>
      <c r="J95" s="140" t="n"/>
      <c r="K95" s="77" t="inlineStr">
        <is>
          <t>JPY</t>
        </is>
      </c>
      <c r="L95" s="78">
        <f>+L93+L94</f>
        <v/>
      </c>
      <c r="M95" s="125" t="n"/>
      <c r="N95" s="125" t="n"/>
      <c r="O95" s="125" t="n"/>
      <c r="P95" s="125" t="n"/>
      <c r="Q95" s="125" t="n"/>
    </row>
    <row r="96">
      <c r="A96" s="101" t="n"/>
      <c r="B96" s="99" t="n"/>
      <c r="C96" s="99" t="n"/>
      <c r="D96" s="99" t="n"/>
      <c r="E96" s="99" t="n"/>
      <c r="F96" s="99" t="n"/>
      <c r="G96" s="99" t="n"/>
      <c r="H96" s="101" t="n"/>
      <c r="I96" s="103" t="n"/>
      <c r="J96" s="104" t="n"/>
      <c r="K96" s="105" t="n"/>
      <c r="L96" s="106" t="n"/>
      <c r="M96" s="125" t="n"/>
      <c r="N96" s="125" t="n"/>
      <c r="O96" s="125" t="n"/>
      <c r="P96" s="125" t="n"/>
      <c r="Q96" s="125" t="n"/>
    </row>
    <row r="97">
      <c r="A97" s="107" t="inlineStr">
        <is>
          <t>THANK YOU FOR YOUR BUSINESS!</t>
        </is>
      </c>
      <c r="M97" s="125" t="n"/>
      <c r="N97" s="125" t="n"/>
      <c r="O97" s="125" t="n"/>
      <c r="P97" s="125" t="n"/>
      <c r="Q97" s="125" t="n"/>
    </row>
    <row r="98">
      <c r="A98" s="101" t="n"/>
      <c r="B98" s="108" t="n"/>
      <c r="C98" s="109" t="n"/>
      <c r="D98" s="12" t="n"/>
      <c r="E98" s="12" t="n"/>
      <c r="F98" s="12" t="n"/>
      <c r="G98" s="12" t="n"/>
      <c r="H98" s="13" t="n"/>
      <c r="I98" s="12" t="n"/>
      <c r="J98" s="13" t="n"/>
      <c r="K98" s="12" t="n"/>
      <c r="L98" s="13" t="n"/>
      <c r="M98" s="125" t="n"/>
      <c r="N98" s="125" t="n"/>
      <c r="O98" s="125" t="n"/>
      <c r="P98" s="125" t="n"/>
      <c r="Q98" s="125" t="n"/>
    </row>
    <row r="99">
      <c r="A99" s="101" t="n"/>
      <c r="B99" s="108" t="n"/>
      <c r="C99" s="109" t="n"/>
      <c r="D99" s="12" t="n"/>
      <c r="E99" s="12" t="n"/>
      <c r="F99" s="12" t="n"/>
      <c r="G99" s="12" t="n"/>
      <c r="H99" s="13" t="n"/>
      <c r="I99" s="12" t="n"/>
      <c r="J99" s="13" t="n"/>
      <c r="K99" s="12" t="n"/>
      <c r="L99" s="13" t="n"/>
      <c r="M99" s="125" t="n"/>
      <c r="N99" s="125" t="n"/>
      <c r="O99" s="125" t="n"/>
      <c r="P99" s="125" t="n"/>
      <c r="Q99" s="125" t="n"/>
    </row>
    <row r="100">
      <c r="A100" s="101" t="n"/>
      <c r="B100" s="108" t="n"/>
      <c r="C100" s="109" t="n"/>
      <c r="D100" s="12" t="n"/>
      <c r="E100" s="110" t="n"/>
      <c r="F100" s="110" t="n"/>
      <c r="G100" s="108" t="n"/>
      <c r="H100" s="104" t="n"/>
      <c r="I100" s="103" t="n"/>
      <c r="J100" s="104" t="n"/>
      <c r="K100" s="111" t="n"/>
      <c r="L100" s="104" t="n"/>
      <c r="M100" s="125" t="n"/>
      <c r="N100" s="125" t="n"/>
      <c r="O100" s="125" t="n"/>
      <c r="P100" s="125" t="n"/>
      <c r="Q100" s="125" t="n"/>
    </row>
    <row r="101">
      <c r="A101" s="101" t="n"/>
      <c r="B101" s="108" t="n"/>
      <c r="C101" s="109" t="n"/>
      <c r="D101" s="12" t="n"/>
      <c r="E101" s="12" t="n"/>
      <c r="F101" s="12" t="n"/>
      <c r="G101" s="12" t="n"/>
      <c r="H101" s="13" t="n"/>
      <c r="I101" s="12" t="n"/>
      <c r="J101" s="13" t="n"/>
      <c r="K101" s="12" t="n"/>
      <c r="L101" s="13" t="n"/>
      <c r="M101" s="125" t="n"/>
      <c r="N101" s="125" t="n"/>
      <c r="O101" s="125" t="n"/>
      <c r="P101" s="125" t="n"/>
      <c r="Q101" s="112" t="n"/>
    </row>
    <row r="102">
      <c r="A102" s="101" t="n"/>
      <c r="B102" s="108" t="n"/>
      <c r="C102" s="109" t="n"/>
      <c r="D102" s="12" t="n"/>
      <c r="E102" s="12" t="n"/>
      <c r="F102" s="12" t="n"/>
      <c r="G102" s="12" t="n"/>
      <c r="H102" s="13" t="n"/>
      <c r="I102" s="12" t="n"/>
      <c r="J102" s="13" t="n"/>
      <c r="K102" s="12" t="n"/>
      <c r="L102" s="13" t="n"/>
      <c r="M102" s="125" t="n"/>
      <c r="N102" s="125" t="n"/>
      <c r="O102" s="125" t="n"/>
      <c r="P102" s="125" t="n"/>
      <c r="Q102" s="125" t="n"/>
    </row>
    <row r="103">
      <c r="A103" s="113" t="n"/>
      <c r="B103" s="114" t="n"/>
      <c r="C103" s="114" t="n"/>
      <c r="D103" s="114" t="n"/>
      <c r="E103" s="114" t="n"/>
      <c r="F103" s="114" t="n"/>
      <c r="G103" s="114" t="n"/>
      <c r="H103" s="115" t="n"/>
      <c r="I103" s="116" t="n"/>
      <c r="J103" s="113" t="n"/>
      <c r="K103" s="114" t="n"/>
      <c r="L103" s="113" t="n"/>
      <c r="M103" s="125" t="n"/>
      <c r="N103" s="125" t="n"/>
      <c r="O103" s="125" t="n"/>
      <c r="P103" s="125" t="n"/>
      <c r="Q103" s="125" t="n"/>
    </row>
    <row r="104">
      <c r="A104" s="124" t="n"/>
      <c r="B104" s="125" t="n"/>
      <c r="C104" s="125" t="n"/>
      <c r="D104" s="125" t="n"/>
      <c r="E104" s="125" t="n"/>
      <c r="F104" s="125" t="n"/>
      <c r="G104" s="125" t="n"/>
      <c r="H104" s="124" t="n"/>
      <c r="I104" s="125" t="n"/>
      <c r="J104" s="126" t="n"/>
      <c r="K104" s="127" t="n"/>
      <c r="L104" s="124" t="n"/>
      <c r="M104" s="125" t="n"/>
      <c r="N104" s="125" t="n"/>
      <c r="O104" s="125" t="n"/>
      <c r="P104" s="125" t="n"/>
      <c r="Q104" s="125" t="n"/>
    </row>
    <row r="105">
      <c r="A105" s="124" t="n"/>
      <c r="B105" s="125" t="n"/>
      <c r="C105" s="120" t="n"/>
      <c r="D105" s="120" t="n"/>
      <c r="E105" s="125" t="n"/>
      <c r="F105" s="125" t="n"/>
      <c r="G105" s="125" t="n"/>
      <c r="H105" s="124" t="n"/>
      <c r="I105" s="125" t="n"/>
      <c r="J105" s="126" t="n"/>
      <c r="K105" s="127" t="n"/>
      <c r="L105" s="124" t="n"/>
      <c r="M105" s="125" t="n"/>
      <c r="N105" s="125" t="n"/>
      <c r="O105" s="125" t="n"/>
      <c r="P105" s="125" t="n"/>
      <c r="Q105" s="125" t="n"/>
    </row>
    <row r="106">
      <c r="A106" s="124" t="n"/>
      <c r="B106" s="125" t="n"/>
      <c r="C106" s="120" t="n"/>
      <c r="D106" s="120" t="n"/>
      <c r="E106" s="125" t="n"/>
      <c r="F106" s="125" t="n"/>
      <c r="G106" s="125" t="n"/>
      <c r="H106" s="124" t="n"/>
      <c r="I106" s="125" t="n"/>
      <c r="J106" s="121" t="n"/>
      <c r="K106" s="122" t="n"/>
      <c r="L106" s="123" t="n"/>
      <c r="M106" s="125" t="n"/>
      <c r="N106" s="125" t="n"/>
      <c r="O106" s="125" t="n"/>
      <c r="P106" s="125" t="n"/>
      <c r="Q106" s="125" t="n"/>
    </row>
  </sheetData>
  <mergeCells count="98">
    <mergeCell ref="F29:G29"/>
    <mergeCell ref="I95:J95"/>
    <mergeCell ref="F68:G68"/>
    <mergeCell ref="F25:G25"/>
    <mergeCell ref="F84:G84"/>
    <mergeCell ref="F16:G18"/>
    <mergeCell ref="F86:G86"/>
    <mergeCell ref="F80:G80"/>
    <mergeCell ref="F70:G70"/>
    <mergeCell ref="F79:G79"/>
    <mergeCell ref="F72:G72"/>
    <mergeCell ref="F23:G23"/>
    <mergeCell ref="F81:G81"/>
    <mergeCell ref="A20:A21"/>
    <mergeCell ref="F56:G56"/>
    <mergeCell ref="F71:G71"/>
    <mergeCell ref="F43:G43"/>
    <mergeCell ref="I94:J94"/>
    <mergeCell ref="C20:E20"/>
    <mergeCell ref="F57:G57"/>
    <mergeCell ref="F88:G88"/>
    <mergeCell ref="F54:G54"/>
    <mergeCell ref="F63:G63"/>
    <mergeCell ref="F34:G34"/>
    <mergeCell ref="F74:G74"/>
    <mergeCell ref="K21:L21"/>
    <mergeCell ref="J7:L7"/>
    <mergeCell ref="F83:G83"/>
    <mergeCell ref="F30:G30"/>
    <mergeCell ref="F20:G20"/>
    <mergeCell ref="F76:G76"/>
    <mergeCell ref="F33:G33"/>
    <mergeCell ref="F45:G45"/>
    <mergeCell ref="F85:G85"/>
    <mergeCell ref="F42:G42"/>
    <mergeCell ref="H16:J18"/>
    <mergeCell ref="F66:G66"/>
    <mergeCell ref="F75:G75"/>
    <mergeCell ref="F47:G47"/>
    <mergeCell ref="F62:G62"/>
    <mergeCell ref="F31:G31"/>
    <mergeCell ref="F46:G46"/>
    <mergeCell ref="F28:G28"/>
    <mergeCell ref="F9:G9"/>
    <mergeCell ref="F61:G61"/>
    <mergeCell ref="F39:G39"/>
    <mergeCell ref="F48:G48"/>
    <mergeCell ref="H5:I5"/>
    <mergeCell ref="F44:G44"/>
    <mergeCell ref="K6:L6"/>
    <mergeCell ref="F64:G64"/>
    <mergeCell ref="F73:G73"/>
    <mergeCell ref="F87:G87"/>
    <mergeCell ref="F89:G89"/>
    <mergeCell ref="F21:G21"/>
    <mergeCell ref="A2:L2"/>
    <mergeCell ref="H21:I21"/>
    <mergeCell ref="H13:J13"/>
    <mergeCell ref="F36:G36"/>
    <mergeCell ref="F50:G50"/>
    <mergeCell ref="F8:G8"/>
    <mergeCell ref="H15:J15"/>
    <mergeCell ref="F91:G91"/>
    <mergeCell ref="H8:J8"/>
    <mergeCell ref="F22:G22"/>
    <mergeCell ref="B20:B21"/>
    <mergeCell ref="F77:G77"/>
    <mergeCell ref="F92:G92"/>
    <mergeCell ref="F49:G49"/>
    <mergeCell ref="F69:G69"/>
    <mergeCell ref="H20:I20"/>
    <mergeCell ref="F78:G78"/>
    <mergeCell ref="F65:G65"/>
    <mergeCell ref="F40:G40"/>
    <mergeCell ref="H9:L9"/>
    <mergeCell ref="F59:G59"/>
    <mergeCell ref="F55:G55"/>
    <mergeCell ref="K20:L20"/>
    <mergeCell ref="F24:G24"/>
    <mergeCell ref="F51:G51"/>
    <mergeCell ref="F32:G32"/>
    <mergeCell ref="I93:J93"/>
    <mergeCell ref="F26:G26"/>
    <mergeCell ref="F41:G41"/>
    <mergeCell ref="F35:G35"/>
    <mergeCell ref="F38:G38"/>
    <mergeCell ref="H7:I7"/>
    <mergeCell ref="F90:G90"/>
    <mergeCell ref="F27:G27"/>
    <mergeCell ref="F58:G58"/>
    <mergeCell ref="F52:G52"/>
    <mergeCell ref="F67:G67"/>
    <mergeCell ref="F37:G37"/>
    <mergeCell ref="F82:G82"/>
    <mergeCell ref="A1:L1"/>
    <mergeCell ref="F60:G60"/>
    <mergeCell ref="K4:L4"/>
    <mergeCell ref="F53:G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2025-08-06T02:54:15Z</dcterms:created>
  <dcterms:modified xmlns:dcterms="http://purl.org/dc/terms/" xmlns:xsi="http://www.w3.org/2001/XMLSchema-instance" xsi:type="dcterms:W3CDTF">2026-04-11T02:11:22Z</dcterms:modified>
</cp:coreProperties>
</file>