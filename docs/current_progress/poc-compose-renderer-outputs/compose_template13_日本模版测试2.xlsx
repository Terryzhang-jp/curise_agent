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4発注書 (M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46">
    <font>
      <name val="Calibri"/>
      <family val="2"/>
      <color theme="1"/>
      <sz val="11"/>
      <scheme val="minor"/>
    </font>
    <font>
      <name val="SimSun"/>
      <family val="2"/>
      <b val="1"/>
      <color rgb="FF000000"/>
      <sz val="48"/>
    </font>
    <font>
      <name val="Aptos Narrow"/>
      <family val="2"/>
      <color rgb="FF000000"/>
      <sz val="11"/>
    </font>
    <font>
      <name val="Times New Roman"/>
      <family val="2"/>
      <b val="1"/>
      <color theme="1"/>
      <sz val="24"/>
    </font>
    <font>
      <name val="Times New Roman"/>
      <family val="2"/>
      <b val="1"/>
      <color rgb="FFffffff"/>
      <sz val="26"/>
    </font>
    <font>
      <name val="宋体"/>
      <family val="2"/>
      <color theme="1"/>
      <sz val="16"/>
    </font>
    <font>
      <name val="宋体"/>
      <family val="2"/>
      <color theme="1"/>
      <sz val="12"/>
    </font>
    <font>
      <name val="HGPｺﾞｼｯｸM"/>
      <family val="2"/>
      <color theme="1"/>
      <sz val="12"/>
    </font>
    <font>
      <name val="宋体"/>
      <family val="2"/>
      <color theme="1"/>
      <sz val="11"/>
    </font>
    <font>
      <name val="宋体"/>
      <family val="2"/>
      <b val="1"/>
      <color theme="1"/>
      <sz val="10"/>
    </font>
    <font>
      <name val="游ゴシック"/>
      <family val="2"/>
      <color theme="1"/>
      <sz val="12"/>
    </font>
    <font>
      <name val="HGPｺﾞｼｯｸM"/>
      <family val="2"/>
      <b val="1"/>
      <color theme="1"/>
      <sz val="12"/>
    </font>
    <font>
      <name val="宋体"/>
      <family val="2"/>
      <color theme="1"/>
      <sz val="10"/>
    </font>
    <font>
      <name val="HGPｺﾞｼｯｸM"/>
      <family val="2"/>
      <color rgb="FF000000"/>
      <sz val="12"/>
    </font>
    <font>
      <name val="Aptos Narrow"/>
      <family val="2"/>
      <color rgb="FF000000"/>
      <sz val="11"/>
      <u val="single"/>
    </font>
    <font>
      <name val="宋体"/>
      <family val="2"/>
      <b val="1"/>
      <color theme="1"/>
      <sz val="11"/>
      <u val="single"/>
    </font>
    <font>
      <name val="HGPｺﾞｼｯｸM"/>
      <family val="2"/>
      <b val="1"/>
      <color rgb="FF000000"/>
      <sz val="16"/>
      <u val="single"/>
    </font>
    <font>
      <name val="HGPｺﾞｼｯｸM"/>
      <family val="2"/>
      <b val="1"/>
      <color rgb="FF000000"/>
      <sz val="11"/>
    </font>
    <font>
      <name val="HGPｺﾞｼｯｸM"/>
      <family val="2"/>
      <color rgb="FF000000"/>
      <sz val="11"/>
    </font>
    <font>
      <name val="HGPｺﾞｼｯｸM"/>
      <family val="2"/>
      <color theme="1"/>
      <sz val="12"/>
      <u val="single"/>
    </font>
    <font>
      <name val="HGPｺﾞｼｯｸM"/>
      <family val="2"/>
      <color rgb="FF000000"/>
      <sz val="12"/>
      <u val="single"/>
    </font>
    <font>
      <name val="HGPｺﾞｼｯｸM"/>
      <family val="2"/>
      <color rgb="FF000000"/>
      <sz val="14"/>
    </font>
    <font>
      <name val="Malgun Gothic"/>
      <family val="2"/>
      <color theme="1"/>
      <sz val="12"/>
    </font>
    <font>
      <name val="宋体"/>
      <family val="2"/>
      <b val="1"/>
      <color theme="1"/>
      <sz val="18"/>
    </font>
    <font>
      <name val="宋体"/>
      <family val="2"/>
      <color rgb="FF000000"/>
      <sz val="22"/>
      <u val="single"/>
    </font>
    <font>
      <name val="Aptos Display"/>
      <family val="2"/>
      <b val="1"/>
      <color theme="1"/>
      <sz val="11"/>
    </font>
    <font>
      <name val="Aptos Display"/>
      <family val="2"/>
      <b val="1"/>
      <color theme="1"/>
      <sz val="12"/>
    </font>
    <font>
      <name val="Aptos Display"/>
      <family val="2"/>
      <b val="1"/>
      <color theme="1"/>
      <sz val="9"/>
    </font>
    <font>
      <name val="Calibri"/>
      <family val="2"/>
      <color theme="1"/>
      <sz val="14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HGPｺﾞｼｯｸM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  <font>
      <name val="Aptos Narrow"/>
      <family val="2"/>
      <color theme="1"/>
      <sz val="11"/>
    </font>
    <font>
      <name val="Aptos Narrow"/>
      <family val="2"/>
      <color theme="1"/>
      <sz val="8"/>
    </font>
    <font>
      <name val="Aptos Narrow"/>
      <family val="2"/>
      <color theme="1"/>
      <sz val="7"/>
    </font>
    <font>
      <name val="宋体"/>
      <family val="2"/>
      <color rgb="FF000000"/>
      <sz val="14"/>
    </font>
    <font>
      <name val="Aptos Narrow"/>
      <family val="2"/>
      <b val="1"/>
      <color theme="1"/>
      <sz val="14"/>
    </font>
    <font>
      <name val="宋体"/>
      <family val="2"/>
      <color theme="1"/>
      <sz val="14"/>
    </font>
    <font>
      <name val="HGPｺﾞｼｯｸM"/>
      <family val="2"/>
      <color theme="1"/>
      <sz val="18"/>
    </font>
    <font>
      <name val="ＭＳ Ｐゴシック"/>
      <family val="2"/>
      <color rgb="FF000000"/>
      <sz val="11"/>
    </font>
    <font>
      <name val="Aptos Narrow"/>
      <family val="2"/>
      <color rgb="FF000000"/>
      <sz val="18"/>
    </font>
    <font>
      <name val="Aptos Narrow"/>
      <family val="2"/>
      <color theme="1"/>
      <sz val="18"/>
    </font>
    <font>
      <name val="ＭＳ Ｐゴシック"/>
      <family val="2"/>
      <color rgb="FF000000"/>
      <sz val="16"/>
    </font>
    <font>
      <name val="宋体"/>
      <family val="2"/>
      <color rgb="FF000000"/>
      <sz val="18"/>
    </font>
  </fonts>
  <fills count="5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000000"/>
      </right>
      <top style="thin">
        <color rgb="FFc6c6c6"/>
      </top>
      <bottom/>
      <diagonal/>
    </border>
    <border>
      <left/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3" fillId="2" borderId="1" applyAlignment="1" pivotButton="0" quotePrefix="0" xfId="0">
      <alignment horizontal="right"/>
    </xf>
    <xf numFmtId="0" fontId="0" fillId="0" borderId="15" pivotButton="0" quotePrefix="0" xfId="0"/>
    <xf numFmtId="0" fontId="0" fillId="0" borderId="16" pivotButton="0" quotePrefix="0" xfId="0"/>
    <xf numFmtId="3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3" fontId="6" fillId="0" borderId="0" applyAlignment="1" pivotButton="0" quotePrefix="0" xfId="0">
      <alignment horizontal="left"/>
    </xf>
    <xf numFmtId="3" fontId="7" fillId="0" borderId="0" applyAlignment="1" pivotButton="0" quotePrefix="0" xfId="0">
      <alignment horizontal="right"/>
    </xf>
    <xf numFmtId="0" fontId="7" fillId="2" borderId="1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3" fontId="10" fillId="0" borderId="0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3" fontId="7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3" fontId="13" fillId="0" borderId="0" applyAlignment="1" pivotButton="0" quotePrefix="0" xfId="0">
      <alignment horizontal="right"/>
    </xf>
    <xf numFmtId="0" fontId="13" fillId="2" borderId="1" applyAlignment="1" pivotButton="0" quotePrefix="0" xfId="0">
      <alignment horizontal="left"/>
    </xf>
    <xf numFmtId="3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164" fontId="12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3" fontId="16" fillId="2" borderId="1" applyAlignment="1" pivotButton="0" quotePrefix="0" xfId="0">
      <alignment horizontal="left"/>
    </xf>
    <xf numFmtId="0" fontId="17" fillId="2" borderId="1" applyAlignment="1" pivotButton="0" quotePrefix="0" xfId="0">
      <alignment horizontal="left"/>
    </xf>
    <xf numFmtId="164" fontId="18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19" fillId="2" borderId="1" applyAlignment="1" pivotButton="0" quotePrefix="0" xfId="0">
      <alignment horizontal="left"/>
    </xf>
    <xf numFmtId="3" fontId="20" fillId="2" borderId="1" applyAlignment="1" pivotButton="0" quotePrefix="0" xfId="0">
      <alignment horizontal="left"/>
    </xf>
    <xf numFmtId="0" fontId="20" fillId="2" borderId="1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3" fontId="7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3" fontId="21" fillId="2" borderId="1" applyAlignment="1" pivotButton="0" quotePrefix="0" xfId="0">
      <alignment horizontal="left"/>
    </xf>
    <xf numFmtId="3" fontId="20" fillId="0" borderId="0" applyAlignment="1" pivotButton="0" quotePrefix="0" xfId="0">
      <alignment horizontal="left"/>
    </xf>
    <xf numFmtId="3" fontId="13" fillId="0" borderId="0" applyAlignment="1" pivotButton="0" quotePrefix="0" xfId="0">
      <alignment horizontal="left"/>
    </xf>
    <xf numFmtId="3" fontId="22" fillId="2" borderId="2" applyAlignment="1" pivotButton="0" quotePrefix="0" xfId="0">
      <alignment horizontal="left"/>
    </xf>
    <xf numFmtId="0" fontId="0" fillId="0" borderId="24" pivotButton="0" quotePrefix="0" xfId="0"/>
    <xf numFmtId="0" fontId="0" fillId="0" borderId="25" pivotButton="0" quotePrefix="0" xfId="0"/>
    <xf numFmtId="0" fontId="23" fillId="0" borderId="3" applyAlignment="1" pivotButton="0" quotePrefix="0" xfId="0">
      <alignment horizontal="center" vertical="top"/>
    </xf>
    <xf numFmtId="0" fontId="0" fillId="0" borderId="17" pivotButton="0" quotePrefix="0" xfId="0"/>
    <xf numFmtId="165" fontId="24" fillId="0" borderId="4" applyAlignment="1" pivotButton="0" quotePrefix="0" xfId="0">
      <alignment horizontal="center" vertical="top"/>
    </xf>
    <xf numFmtId="0" fontId="0" fillId="0" borderId="21" pivotButton="0" quotePrefix="0" xfId="0"/>
    <xf numFmtId="3" fontId="24" fillId="0" borderId="0" applyAlignment="1" pivotButton="0" quotePrefix="0" xfId="0">
      <alignment horizontal="center"/>
    </xf>
    <xf numFmtId="0" fontId="0" fillId="0" borderId="18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3" fontId="25" fillId="3" borderId="5" applyAlignment="1" pivotButton="0" quotePrefix="0" xfId="0">
      <alignment horizontal="center" vertical="top" wrapText="1"/>
    </xf>
    <xf numFmtId="0" fontId="25" fillId="3" borderId="5" applyAlignment="1" pivotButton="0" quotePrefix="0" xfId="0">
      <alignment horizontal="center" vertical="top" wrapText="1"/>
    </xf>
    <xf numFmtId="0" fontId="26" fillId="3" borderId="5" applyAlignment="1" pivotButton="0" quotePrefix="0" xfId="0">
      <alignment horizontal="center"/>
    </xf>
    <xf numFmtId="0" fontId="0" fillId="0" borderId="30" pivotButton="0" quotePrefix="0" xfId="0"/>
    <xf numFmtId="0" fontId="0" fillId="0" borderId="9" pivotButton="0" quotePrefix="0" xfId="0"/>
    <xf numFmtId="3" fontId="26" fillId="3" borderId="5" applyAlignment="1" pivotButton="0" quotePrefix="0" xfId="0">
      <alignment horizontal="center"/>
    </xf>
    <xf numFmtId="3" fontId="26" fillId="3" borderId="6" applyAlignment="1" pivotButton="0" quotePrefix="0" xfId="0">
      <alignment horizontal="center"/>
    </xf>
    <xf numFmtId="0" fontId="0" fillId="0" borderId="10" pivotButton="0" quotePrefix="0" xfId="0"/>
    <xf numFmtId="0" fontId="27" fillId="3" borderId="7" applyAlignment="1" pivotButton="0" quotePrefix="0" xfId="0">
      <alignment horizontal="center" wrapText="1"/>
    </xf>
    <xf numFmtId="0" fontId="6" fillId="3" borderId="8" applyAlignment="1" pivotButton="0" quotePrefix="0" xfId="0">
      <alignment horizontal="left"/>
    </xf>
    <xf numFmtId="165" fontId="6" fillId="0" borderId="5" applyAlignment="1" pivotButton="0" quotePrefix="0" xfId="0">
      <alignment horizontal="center" wrapText="1"/>
    </xf>
    <xf numFmtId="0" fontId="28" fillId="0" borderId="5" applyAlignment="1" pivotButton="0" quotePrefix="0" xfId="0">
      <alignment horizontal="center" wrapText="1"/>
    </xf>
    <xf numFmtId="0" fontId="29" fillId="0" borderId="5" applyAlignment="1" pivotButton="0" quotePrefix="0" xfId="0">
      <alignment horizontal="center" wrapText="1"/>
    </xf>
    <xf numFmtId="0" fontId="30" fillId="0" borderId="5" applyAlignment="1" pivotButton="0" quotePrefix="0" xfId="0">
      <alignment horizontal="left" wrapText="1"/>
    </xf>
    <xf numFmtId="0" fontId="31" fillId="0" borderId="5" applyAlignment="1" pivotButton="0" quotePrefix="0" xfId="0">
      <alignment horizontal="left" wrapText="1"/>
    </xf>
    <xf numFmtId="165" fontId="32" fillId="0" borderId="5" applyAlignment="1" pivotButton="0" quotePrefix="0" xfId="0">
      <alignment horizontal="right"/>
    </xf>
    <xf numFmtId="0" fontId="33" fillId="0" borderId="9" applyAlignment="1" pivotButton="0" quotePrefix="0" xfId="0">
      <alignment horizontal="center"/>
    </xf>
    <xf numFmtId="165" fontId="7" fillId="0" borderId="5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165" fontId="21" fillId="0" borderId="5" applyAlignment="1" pivotButton="0" quotePrefix="0" xfId="0">
      <alignment horizontal="right"/>
    </xf>
    <xf numFmtId="165" fontId="30" fillId="0" borderId="5" applyAlignment="1" pivotButton="0" quotePrefix="0" xfId="0">
      <alignment horizontal="left" wrapText="1"/>
    </xf>
    <xf numFmtId="3" fontId="34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/>
    </xf>
    <xf numFmtId="0" fontId="37" fillId="3" borderId="7" applyAlignment="1" pivotButton="0" quotePrefix="0" xfId="0">
      <alignment horizontal="right"/>
    </xf>
    <xf numFmtId="0" fontId="0" fillId="0" borderId="27" pivotButton="0" quotePrefix="0" xfId="0"/>
    <xf numFmtId="0" fontId="21" fillId="0" borderId="10" applyAlignment="1" pivotButton="0" quotePrefix="0" xfId="0">
      <alignment horizontal="center"/>
    </xf>
    <xf numFmtId="165" fontId="21" fillId="0" borderId="10" applyAlignment="1" pivotButton="0" quotePrefix="0" xfId="0">
      <alignment horizontal="right"/>
    </xf>
    <xf numFmtId="0" fontId="38" fillId="0" borderId="0" applyAlignment="1" pivotButton="0" quotePrefix="0" xfId="0">
      <alignment horizontal="left" wrapText="1"/>
    </xf>
    <xf numFmtId="0" fontId="37" fillId="3" borderId="5" applyAlignment="1" pivotButton="0" quotePrefix="0" xfId="0">
      <alignment horizontal="right"/>
    </xf>
    <xf numFmtId="3" fontId="6" fillId="0" borderId="0" applyAlignment="1" pivotButton="0" quotePrefix="0" xfId="0">
      <alignment horizontal="center"/>
    </xf>
    <xf numFmtId="0" fontId="39" fillId="3" borderId="5" applyAlignment="1" pivotButton="0" quotePrefix="0" xfId="0">
      <alignment horizontal="right"/>
    </xf>
    <xf numFmtId="0" fontId="39" fillId="0" borderId="0" applyAlignment="1" pivotButton="0" quotePrefix="0" xfId="0">
      <alignment horizontal="right"/>
    </xf>
    <xf numFmtId="3" fontId="39" fillId="0" borderId="0" applyAlignment="1" pivotButton="0" quotePrefix="0" xfId="0">
      <alignment horizontal="right"/>
    </xf>
    <xf numFmtId="3" fontId="21" fillId="0" borderId="0" applyAlignment="1" pivotButton="0" quotePrefix="0" xfId="0">
      <alignment horizontal="center"/>
    </xf>
    <xf numFmtId="3" fontId="21" fillId="0" borderId="0" applyAlignment="1" pivotButton="0" quotePrefix="0" xfId="0">
      <alignment horizontal="right"/>
    </xf>
    <xf numFmtId="3" fontId="4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left"/>
    </xf>
    <xf numFmtId="3" fontId="42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3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3" fontId="44" fillId="0" borderId="0" applyAlignment="1" pivotButton="0" quotePrefix="0" xfId="0">
      <alignment horizontal="center"/>
    </xf>
    <xf numFmtId="0" fontId="44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cols>
    <col width="4.290714285714285" customWidth="1" min="1" max="1"/>
    <col width="12.57642857142857" customWidth="1" min="2" max="2"/>
    <col width="12.86214285714286" customWidth="1" min="3" max="3"/>
    <col width="28.14785714285714" customWidth="1" min="4" max="4"/>
    <col width="22.14785714285714" customWidth="1" min="5" max="5"/>
    <col width="8.576428571428572" customWidth="1" min="6" max="6"/>
    <col width="9.862142857142858" customWidth="1" min="7" max="7"/>
    <col width="5.147857142857143" customWidth="1" min="8" max="8"/>
    <col width="4.719285714285714" customWidth="1" min="9" max="9"/>
    <col width="11.86214285714286" customWidth="1" min="10" max="10"/>
    <col width="5.719285714285714" customWidth="1" min="11" max="11"/>
    <col width="16.14785714285714" customWidth="1" min="12" max="12"/>
    <col width="10.57642857142857" customWidth="1" min="13" max="13"/>
    <col width="3.147857142857143" customWidth="1" min="14" max="14"/>
    <col width="5.290714285714285" customWidth="1" min="15" max="15"/>
    <col width="4.576428571428571" customWidth="1" min="16" max="16"/>
    <col width="10.57642857142857" customWidth="1" min="17" max="17"/>
  </cols>
  <sheetData>
    <row r="1">
      <c r="A1" s="1" t="inlineStr">
        <is>
          <t>PURCHASE ORDER</t>
        </is>
      </c>
      <c r="M1" s="2" t="n"/>
      <c r="N1" s="2" t="n"/>
      <c r="O1" s="3" t="n"/>
      <c r="P1" s="3" t="n"/>
      <c r="Q1" s="3" t="n"/>
    </row>
    <row r="2">
      <c r="A2" s="4" t="inlineStr">
        <is>
          <t>CELEBRITY EDGE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  <c r="M2" s="3" t="n"/>
      <c r="N2" s="3" t="n"/>
      <c r="O2" s="3" t="n"/>
      <c r="P2" s="3" t="n"/>
      <c r="Q2" s="3" t="n"/>
    </row>
    <row r="3">
      <c r="A3" s="7" t="n"/>
      <c r="B3" s="8" t="n"/>
      <c r="C3" s="8" t="n"/>
      <c r="D3" s="8" t="n"/>
      <c r="E3" s="8" t="n"/>
      <c r="F3" s="8" t="n"/>
      <c r="G3" s="8" t="n"/>
      <c r="H3" s="7" t="n"/>
      <c r="I3" s="8" t="n"/>
      <c r="J3" s="7" t="n"/>
      <c r="K3" s="8" t="n"/>
      <c r="L3" s="7" t="n"/>
      <c r="M3" s="3" t="n"/>
      <c r="N3" s="3" t="n"/>
      <c r="O3" s="3" t="n"/>
      <c r="P3" s="3" t="n"/>
      <c r="Q3" s="3" t="n"/>
    </row>
    <row r="4">
      <c r="A4" s="9" t="inlineStr">
        <is>
          <t>Supplier 17</t>
        </is>
      </c>
      <c r="B4" s="10" t="n"/>
      <c r="C4" s="11" t="n"/>
      <c r="D4" s="11" t="n"/>
      <c r="E4" s="11" t="n"/>
      <c r="F4" s="11" t="n"/>
      <c r="G4" s="11" t="n"/>
      <c r="H4" s="12" t="n"/>
      <c r="I4" s="11" t="n"/>
      <c r="J4" s="13" t="inlineStr">
        <is>
          <t>DATE：</t>
        </is>
      </c>
      <c r="K4" s="14" t="inlineStr">
        <is>
          <t>2025-08-04</t>
        </is>
      </c>
      <c r="L4" s="6" t="n"/>
      <c r="M4" s="3" t="n"/>
      <c r="N4" s="3" t="n"/>
      <c r="O4" s="3" t="n"/>
      <c r="P4" s="3" t="n"/>
      <c r="Q4" s="3" t="n"/>
    </row>
    <row r="5">
      <c r="A5" s="15" t="inlineStr">
        <is>
          <t>担当者：河野良太</t>
        </is>
      </c>
      <c r="B5" s="16" t="n"/>
      <c r="C5" s="17" t="n"/>
      <c r="D5" s="17" t="n"/>
      <c r="E5" s="17" t="n"/>
      <c r="F5" s="17" t="n"/>
      <c r="G5" s="17" t="n"/>
      <c r="H5" s="18" t="n"/>
      <c r="J5" s="13" t="inlineStr">
        <is>
          <t>Invoice：</t>
        </is>
      </c>
      <c r="K5" s="19" t="inlineStr">
        <is>
          <t>68358749</t>
        </is>
      </c>
      <c r="L5" s="20" t="n"/>
      <c r="M5" s="3" t="n"/>
      <c r="N5" s="3" t="n"/>
      <c r="O5" s="3" t="n"/>
      <c r="P5" s="3" t="n"/>
      <c r="Q5" s="3" t="n"/>
    </row>
    <row r="6">
      <c r="A6" s="15" t="inlineStr">
        <is>
          <t>横浜市都筑区大熊町１０５－２</t>
        </is>
      </c>
      <c r="B6" s="16" t="n"/>
      <c r="C6" s="21" t="n"/>
      <c r="D6" s="21" t="n"/>
      <c r="E6" s="21" t="n"/>
      <c r="F6" s="21" t="n"/>
      <c r="G6" s="21" t="n"/>
      <c r="H6" s="12" t="n"/>
      <c r="I6" s="11" t="n"/>
      <c r="J6" s="22" t="inlineStr">
        <is>
          <t>Voyage：</t>
        </is>
      </c>
      <c r="K6" s="23" t="inlineStr"/>
      <c r="L6" s="6" t="n"/>
      <c r="M6" s="3" t="n"/>
      <c r="N6" s="3" t="n"/>
      <c r="O6" s="3" t="n"/>
      <c r="P6" s="3" t="n"/>
      <c r="Q6" s="3" t="n"/>
    </row>
    <row r="7">
      <c r="A7" s="24" t="inlineStr">
        <is>
          <t>TEL:045-472-9171</t>
        </is>
      </c>
      <c r="B7" s="25" t="n"/>
      <c r="C7" s="21" t="n"/>
      <c r="D7" s="21" t="n"/>
      <c r="E7" s="21" t="n"/>
      <c r="F7" s="21" t="n"/>
      <c r="G7" s="21" t="n"/>
      <c r="H7" s="26" t="n"/>
      <c r="J7" s="27" t="n"/>
      <c r="M7" s="3" t="n"/>
      <c r="N7" s="3" t="n"/>
      <c r="O7" s="3" t="n"/>
      <c r="P7" s="3" t="n"/>
      <c r="Q7" s="3" t="n"/>
    </row>
    <row r="8">
      <c r="A8" s="24" t="inlineStr">
        <is>
          <t>E-mail:r-kono@takanashi-milk.co.jp</t>
        </is>
      </c>
      <c r="B8" s="25" t="n"/>
      <c r="C8" s="21" t="n"/>
      <c r="D8" s="21" t="n"/>
      <c r="E8" s="21" t="n"/>
      <c r="F8" s="28" t="inlineStr">
        <is>
          <t>Delivery Date:</t>
        </is>
      </c>
      <c r="H8" s="29" t="inlineStr">
        <is>
          <t>2026-01-05</t>
        </is>
      </c>
      <c r="I8" s="5" t="n"/>
      <c r="J8" s="6" t="n"/>
      <c r="K8" s="30" t="inlineStr">
        <is>
          <t>[午前中]厳守</t>
        </is>
      </c>
      <c r="L8" s="31" t="n"/>
      <c r="M8" s="31" t="n"/>
      <c r="N8" s="3" t="n"/>
      <c r="O8" s="3" t="n"/>
      <c r="P8" s="3" t="n"/>
      <c r="Q8" s="3" t="n"/>
    </row>
    <row r="9">
      <c r="A9" s="12" t="n"/>
      <c r="B9" s="11" t="n"/>
      <c r="C9" s="11" t="n"/>
      <c r="D9" s="11" t="n"/>
      <c r="E9" s="11" t="n"/>
      <c r="F9" s="32" t="inlineStr">
        <is>
          <t>Delivery Address:</t>
        </is>
      </c>
      <c r="H9" s="20" t="inlineStr"/>
      <c r="I9" s="5" t="n"/>
      <c r="J9" s="5" t="n"/>
      <c r="K9" s="5" t="n"/>
      <c r="L9" s="6" t="n"/>
      <c r="M9" s="33" t="n"/>
      <c r="N9" s="3" t="n"/>
      <c r="O9" s="3" t="n"/>
      <c r="P9" s="3" t="n"/>
      <c r="Q9" s="3" t="n"/>
    </row>
    <row r="10">
      <c r="A10" s="12" t="n"/>
      <c r="B10" s="11" t="n"/>
      <c r="C10" s="11" t="n"/>
      <c r="D10" s="11" t="n"/>
      <c r="E10" s="11" t="n"/>
      <c r="F10" s="34" t="n"/>
      <c r="G10" s="34" t="n"/>
      <c r="H10" s="20" t="inlineStr">
        <is>
          <t>SYDNEY</t>
        </is>
      </c>
      <c r="I10" s="35" t="n"/>
      <c r="J10" s="36" t="n"/>
      <c r="K10" s="37" t="n"/>
      <c r="L10" s="36" t="n"/>
      <c r="M10" s="38" t="n"/>
      <c r="N10" s="3" t="n"/>
      <c r="O10" s="3" t="n"/>
      <c r="P10" s="3" t="n"/>
      <c r="Q10" s="3" t="n"/>
    </row>
    <row r="11">
      <c r="A11" s="12" t="n"/>
      <c r="B11" s="11" t="n"/>
      <c r="C11" s="11" t="n"/>
      <c r="D11" s="11" t="n"/>
      <c r="E11" s="11" t="n"/>
      <c r="F11" s="34" t="n"/>
      <c r="G11" s="34" t="n"/>
      <c r="H11" s="39" t="inlineStr">
        <is>
          <t>担当：Ms.トウ　080-6259-5888</t>
        </is>
      </c>
      <c r="I11" s="35" t="n"/>
      <c r="J11" s="36" t="n"/>
      <c r="K11" s="37" t="n"/>
      <c r="L11" s="36" t="n"/>
      <c r="M11" s="38" t="n"/>
      <c r="N11" s="3" t="n"/>
      <c r="O11" s="3" t="n"/>
      <c r="P11" s="3" t="n"/>
      <c r="Q11" s="3" t="n"/>
    </row>
    <row r="12">
      <c r="A12" s="12" t="n"/>
      <c r="B12" s="11" t="n"/>
      <c r="C12" s="11" t="n"/>
      <c r="D12" s="11" t="n"/>
      <c r="E12" s="11" t="n"/>
      <c r="F12" s="40" t="n"/>
      <c r="G12" s="40" t="n"/>
      <c r="H12" s="39" t="n"/>
      <c r="I12" s="35" t="inlineStr">
        <is>
          <t>CELEBRITY EDGE</t>
        </is>
      </c>
      <c r="J12" s="41" t="n"/>
      <c r="K12" s="23" t="n"/>
      <c r="L12" s="41" t="n"/>
      <c r="M12" s="38" t="n"/>
      <c r="N12" s="3" t="n"/>
      <c r="O12" s="3" t="n"/>
      <c r="P12" s="3" t="n"/>
      <c r="Q12" s="3" t="n"/>
    </row>
    <row r="13">
      <c r="A13" s="9" t="inlineStr">
        <is>
          <t>株式会社メリットトレーディング</t>
        </is>
      </c>
      <c r="B13" s="10" t="n"/>
      <c r="C13" s="11" t="n"/>
      <c r="D13" s="11" t="n"/>
      <c r="E13" s="11" t="n"/>
      <c r="F13" s="33" t="inlineStr">
        <is>
          <t>Payment Date:</t>
        </is>
      </c>
      <c r="G13" s="33" t="n"/>
      <c r="H13" s="20" t="inlineStr">
        <is>
          <t>前振り込み</t>
        </is>
      </c>
      <c r="I13" s="5" t="n"/>
      <c r="J13" s="6" t="n"/>
      <c r="K13" s="38" t="n"/>
      <c r="L13" s="42" t="n"/>
      <c r="M13" s="38" t="n"/>
      <c r="N13" s="3" t="n"/>
      <c r="O13" s="3" t="n"/>
      <c r="P13" s="3" t="n"/>
      <c r="Q13" s="3" t="n"/>
    </row>
    <row r="14">
      <c r="A14" s="12" t="inlineStr">
        <is>
          <t>〒900-0003</t>
        </is>
      </c>
      <c r="B14" s="11" t="n"/>
      <c r="C14" s="11" t="n"/>
      <c r="D14" s="11" t="n"/>
      <c r="E14" s="11" t="n"/>
      <c r="F14" s="33" t="inlineStr">
        <is>
          <t>Payment Method:</t>
        </is>
      </c>
      <c r="G14" s="33" t="n"/>
      <c r="H14" s="20" t="inlineStr">
        <is>
          <t>口座振り込み</t>
        </is>
      </c>
      <c r="I14" s="14" t="n"/>
      <c r="J14" s="20" t="n"/>
      <c r="K14" s="33" t="n"/>
      <c r="L14" s="43" t="n"/>
      <c r="M14" s="33" t="n"/>
      <c r="N14" s="3" t="n"/>
      <c r="O14" s="3" t="n"/>
      <c r="P14" s="3" t="n"/>
      <c r="Q14" s="3" t="n"/>
    </row>
    <row r="15">
      <c r="A15" s="12" t="inlineStr">
        <is>
          <t>沖縄県那覇市安謝1-2-21 アーバンウエスト秋桜201</t>
        </is>
      </c>
      <c r="B15" s="11" t="n"/>
      <c r="C15" s="11" t="n"/>
      <c r="D15" s="11" t="n"/>
      <c r="E15" s="11" t="n"/>
      <c r="F15" s="33" t="inlineStr">
        <is>
          <t>担当者及び連絡先：</t>
        </is>
      </c>
      <c r="G15" s="33" t="n"/>
      <c r="H15" s="44" t="inlineStr">
        <is>
          <t>邢　080-4311-1145</t>
        </is>
      </c>
      <c r="I15" s="45" t="n"/>
      <c r="J15" s="46" t="n"/>
      <c r="K15" s="33" t="n"/>
      <c r="L15" s="39" t="n"/>
      <c r="M15" s="33" t="n"/>
      <c r="N15" s="3" t="n"/>
      <c r="O15" s="3" t="n"/>
      <c r="P15" s="3" t="n"/>
      <c r="Q15" s="3" t="n"/>
    </row>
    <row r="16">
      <c r="A16" s="24" t="inlineStr">
        <is>
          <t>TEL:098-917-2295</t>
        </is>
      </c>
      <c r="B16" s="25" t="n"/>
      <c r="C16" s="11" t="n"/>
      <c r="D16" s="11" t="n"/>
      <c r="E16" s="11" t="n"/>
      <c r="F16" s="47" t="inlineStr">
        <is>
          <t>TOTAL:</t>
        </is>
      </c>
      <c r="G16" s="48" t="n"/>
      <c r="H16" s="49">
        <f>L95</f>
        <v/>
      </c>
      <c r="I16" s="48" t="n"/>
      <c r="J16" s="50" t="n"/>
      <c r="K16" s="51" t="n"/>
      <c r="L16" s="12" t="n"/>
      <c r="M16" s="3" t="n"/>
      <c r="N16" s="3" t="n"/>
      <c r="O16" s="3" t="n"/>
      <c r="P16" s="3" t="n"/>
      <c r="Q16" s="3" t="n"/>
    </row>
    <row r="17">
      <c r="A17" s="24" t="inlineStr">
        <is>
          <t>FAX:098-917-2296</t>
        </is>
      </c>
      <c r="B17" s="25" t="n"/>
      <c r="C17" s="11" t="n"/>
      <c r="D17" s="11" t="n"/>
      <c r="E17" s="11" t="n"/>
      <c r="F17" s="52" t="n"/>
      <c r="J17" s="53" t="n"/>
      <c r="K17" s="51" t="n"/>
      <c r="L17" s="12" t="n"/>
      <c r="M17" s="3" t="n"/>
      <c r="N17" s="3" t="n"/>
      <c r="O17" s="3" t="n"/>
      <c r="P17" s="3" t="n"/>
      <c r="Q17" s="3" t="n"/>
    </row>
    <row r="18">
      <c r="A18" s="24" t="inlineStr">
        <is>
          <t>E-mail:cruise.merit@gmail.com</t>
        </is>
      </c>
      <c r="B18" s="25" t="n"/>
      <c r="C18" s="11" t="n"/>
      <c r="D18" s="11" t="n"/>
      <c r="E18" s="11" t="n"/>
      <c r="F18" s="54" t="n"/>
      <c r="G18" s="55" t="n"/>
      <c r="H18" s="55" t="n"/>
      <c r="I18" s="55" t="n"/>
      <c r="J18" s="56" t="n"/>
      <c r="K18" s="51" t="n"/>
      <c r="L18" s="12" t="n"/>
      <c r="M18" s="3" t="n"/>
      <c r="N18" s="3" t="n"/>
      <c r="O18" s="3" t="n"/>
      <c r="P18" s="3" t="n"/>
      <c r="Q18" s="3" t="n"/>
    </row>
    <row r="19">
      <c r="A19" s="12" t="n"/>
      <c r="B19" s="11" t="n"/>
      <c r="C19" s="11" t="n"/>
      <c r="D19" s="11" t="n"/>
      <c r="E19" s="11" t="n"/>
      <c r="F19" s="11" t="n"/>
      <c r="G19" s="11" t="n"/>
      <c r="H19" s="12" t="n"/>
      <c r="I19" s="11" t="n"/>
      <c r="J19" s="12" t="n"/>
      <c r="K19" s="11" t="n"/>
      <c r="L19" s="12" t="n"/>
      <c r="M19" s="3" t="n"/>
      <c r="N19" s="3" t="n"/>
      <c r="O19" s="3" t="n"/>
      <c r="P19" s="3" t="n"/>
      <c r="Q19" s="3" t="n"/>
    </row>
    <row r="20">
      <c r="A20" s="57" t="inlineStr">
        <is>
          <t>NO.</t>
        </is>
      </c>
      <c r="B20" s="58" t="inlineStr">
        <is>
          <t>PO No.</t>
        </is>
      </c>
      <c r="C20" s="59" t="inlineStr">
        <is>
          <t>Product（商品名）</t>
        </is>
      </c>
      <c r="D20" s="60" t="n"/>
      <c r="E20" s="61" t="n"/>
      <c r="F20" s="59" t="inlineStr">
        <is>
          <t>Description</t>
        </is>
      </c>
      <c r="G20" s="61" t="n"/>
      <c r="H20" s="62" t="inlineStr">
        <is>
          <t>Quantity</t>
        </is>
      </c>
      <c r="I20" s="61" t="n"/>
      <c r="J20" s="63" t="inlineStr">
        <is>
          <t>Unit price</t>
        </is>
      </c>
      <c r="K20" s="59" t="inlineStr">
        <is>
          <t>Amount(JPY)</t>
        </is>
      </c>
      <c r="L20" s="61" t="n"/>
      <c r="M20" s="3" t="n"/>
      <c r="N20" s="3" t="n"/>
      <c r="O20" s="3" t="n"/>
      <c r="P20" s="3" t="n"/>
      <c r="Q20" s="3" t="n"/>
    </row>
    <row r="21">
      <c r="A21" s="64" t="n"/>
      <c r="B21" s="64" t="n"/>
      <c r="C21" s="65" t="inlineStr">
        <is>
          <t>商品コード</t>
        </is>
      </c>
      <c r="D21" s="59" t="inlineStr">
        <is>
          <t>英語表記</t>
        </is>
      </c>
      <c r="E21" s="59" t="inlineStr">
        <is>
          <t>日本語表記</t>
        </is>
      </c>
      <c r="F21" s="59" t="inlineStr">
        <is>
          <t>（詳細）</t>
        </is>
      </c>
      <c r="G21" s="61" t="n"/>
      <c r="H21" s="62" t="inlineStr">
        <is>
          <t>(数量)</t>
        </is>
      </c>
      <c r="I21" s="61" t="n"/>
      <c r="J21" s="63" t="inlineStr">
        <is>
          <t>(単価）</t>
        </is>
      </c>
      <c r="K21" s="59" t="inlineStr">
        <is>
          <t>(合計)</t>
        </is>
      </c>
      <c r="L21" s="61" t="n"/>
      <c r="M21" s="66" t="n"/>
      <c r="N21" s="3" t="n"/>
      <c r="O21" s="3" t="n"/>
      <c r="P21" s="3" t="n"/>
      <c r="Q21" s="3" t="n"/>
    </row>
    <row r="22">
      <c r="A22" s="67" t="n">
        <v>1</v>
      </c>
      <c r="B22" s="68" t="inlineStr">
        <is>
          <t>68358749</t>
        </is>
      </c>
      <c r="C22" s="69" t="inlineStr">
        <is>
          <t>99PRD010588</t>
        </is>
      </c>
      <c r="D22" s="70" t="inlineStr">
        <is>
          <t>APPLE GRANNY SMITH US EXTRA FANCY 125CT/40LB</t>
        </is>
      </c>
      <c r="E22" s="71" t="inlineStr"/>
      <c r="F22" s="70" t="inlineStr">
        <is>
          <t>kg</t>
        </is>
      </c>
      <c r="G22" s="61" t="n"/>
      <c r="H22" s="72" t="n">
        <v>246</v>
      </c>
      <c r="I22" s="73" t="inlineStr">
        <is>
          <t>KG</t>
        </is>
      </c>
      <c r="J22" s="74" t="n">
        <v>1.29</v>
      </c>
      <c r="K22" s="75" t="inlineStr">
        <is>
          <t>JPY</t>
        </is>
      </c>
      <c r="L22" s="76">
        <f>H22*J22</f>
        <v/>
      </c>
      <c r="M22" s="3" t="n"/>
      <c r="N22" s="3" t="n"/>
      <c r="O22" s="3" t="n"/>
      <c r="P22" s="3" t="n"/>
      <c r="Q22" s="3" t="n"/>
    </row>
    <row r="23">
      <c r="A23" s="67" t="n">
        <v>2</v>
      </c>
      <c r="B23" s="68" t="inlineStr">
        <is>
          <t>68358749</t>
        </is>
      </c>
      <c r="C23" s="69" t="inlineStr">
        <is>
          <t>99PRD010590</t>
        </is>
      </c>
      <c r="D23" s="70" t="inlineStr">
        <is>
          <t>APPLE RED DELICIOUS US EXTRA FANCY 125CT/40LB</t>
        </is>
      </c>
      <c r="E23" s="71" t="inlineStr"/>
      <c r="F23" s="70" t="inlineStr">
        <is>
          <t>kg</t>
        </is>
      </c>
      <c r="G23" s="61" t="n"/>
      <c r="H23" s="72" t="n">
        <v>296</v>
      </c>
      <c r="I23" s="73" t="inlineStr">
        <is>
          <t>KG</t>
        </is>
      </c>
      <c r="J23" s="74" t="n">
        <v>1.26</v>
      </c>
      <c r="K23" s="75" t="inlineStr">
        <is>
          <t>JPY</t>
        </is>
      </c>
      <c r="L23" s="76">
        <f>H23*J23</f>
        <v/>
      </c>
      <c r="M23" s="3" t="n"/>
      <c r="N23" s="3" t="n"/>
      <c r="O23" s="3" t="n"/>
      <c r="P23" s="3" t="n"/>
      <c r="Q23" s="3" t="n"/>
    </row>
    <row r="24">
      <c r="A24" s="67" t="n">
        <v>3</v>
      </c>
      <c r="B24" s="68" t="inlineStr">
        <is>
          <t>68358749</t>
        </is>
      </c>
      <c r="C24" s="69" t="inlineStr">
        <is>
          <t>99PRD010601</t>
        </is>
      </c>
      <c r="D24" s="70" t="inlineStr">
        <is>
          <t>ASPARAGUS GREEN LARGE</t>
        </is>
      </c>
      <c r="E24" s="71" t="inlineStr"/>
      <c r="F24" s="70" t="inlineStr">
        <is>
          <t>kg</t>
        </is>
      </c>
      <c r="G24" s="61" t="n"/>
      <c r="H24" s="72" t="n">
        <v>225</v>
      </c>
      <c r="I24" s="73" t="inlineStr">
        <is>
          <t>KG</t>
        </is>
      </c>
      <c r="J24" s="74" t="n">
        <v>14.88</v>
      </c>
      <c r="K24" s="75" t="inlineStr">
        <is>
          <t>JPY</t>
        </is>
      </c>
      <c r="L24" s="76">
        <f>H24*J24</f>
        <v/>
      </c>
      <c r="M24" s="3" t="n"/>
      <c r="N24" s="3" t="n"/>
      <c r="O24" s="3" t="n"/>
      <c r="P24" s="3" t="n"/>
      <c r="Q24" s="3" t="n"/>
    </row>
    <row r="25">
      <c r="A25" s="67" t="n">
        <v>4</v>
      </c>
      <c r="B25" s="68" t="inlineStr">
        <is>
          <t>68358749</t>
        </is>
      </c>
      <c r="C25" s="69" t="inlineStr">
        <is>
          <t>99PRD010604</t>
        </is>
      </c>
      <c r="D25" s="70" t="inlineStr">
        <is>
          <t>AVOCADO HASS 3/4 RIPE 60CT #2</t>
        </is>
      </c>
      <c r="E25" s="71" t="inlineStr"/>
      <c r="F25" s="70" t="inlineStr">
        <is>
          <t>kg</t>
        </is>
      </c>
      <c r="G25" s="61" t="n"/>
      <c r="H25" s="72" t="n">
        <v>173</v>
      </c>
      <c r="I25" s="73" t="inlineStr">
        <is>
          <t>KG</t>
        </is>
      </c>
      <c r="J25" s="74" t="n">
        <v>3.2</v>
      </c>
      <c r="K25" s="75" t="inlineStr">
        <is>
          <t>JPY</t>
        </is>
      </c>
      <c r="L25" s="76">
        <f>H25*J25</f>
        <v/>
      </c>
      <c r="M25" s="3" t="n"/>
      <c r="N25" s="3" t="n"/>
      <c r="O25" s="3" t="n"/>
      <c r="P25" s="3" t="n"/>
      <c r="Q25" s="3" t="n"/>
    </row>
    <row r="26">
      <c r="A26" s="67" t="n">
        <v>5</v>
      </c>
      <c r="B26" s="68" t="inlineStr">
        <is>
          <t>68358749</t>
        </is>
      </c>
      <c r="C26" s="69" t="inlineStr">
        <is>
          <t>99PRD010690</t>
        </is>
      </c>
      <c r="D26" s="70" t="inlineStr">
        <is>
          <t>BEET RED LARGE 25LB</t>
        </is>
      </c>
      <c r="E26" s="71" t="inlineStr"/>
      <c r="F26" s="70" t="inlineStr">
        <is>
          <t>kg</t>
        </is>
      </c>
      <c r="G26" s="61" t="n"/>
      <c r="H26" s="72" t="n">
        <v>82</v>
      </c>
      <c r="I26" s="73" t="inlineStr">
        <is>
          <t>KG</t>
        </is>
      </c>
      <c r="J26" s="74" t="n">
        <v>1.4</v>
      </c>
      <c r="K26" s="75" t="inlineStr">
        <is>
          <t>JPY</t>
        </is>
      </c>
      <c r="L26" s="76">
        <f>H26*J26</f>
        <v/>
      </c>
      <c r="M26" s="3" t="n"/>
      <c r="N26" s="3" t="n"/>
      <c r="O26" s="3" t="n"/>
      <c r="P26" s="3" t="n"/>
      <c r="Q26" s="3" t="n"/>
    </row>
    <row r="27">
      <c r="A27" s="67" t="n">
        <v>6</v>
      </c>
      <c r="B27" s="68" t="inlineStr">
        <is>
          <t>68358749</t>
        </is>
      </c>
      <c r="C27" s="69" t="inlineStr">
        <is>
          <t>99PRD010717</t>
        </is>
      </c>
      <c r="D27" s="70" t="inlineStr">
        <is>
          <t>BROCCOLI WHOLE STALK 2-3 INCH 14CT/20LB</t>
        </is>
      </c>
      <c r="E27" s="71" t="inlineStr"/>
      <c r="F27" s="70" t="inlineStr">
        <is>
          <t>kg</t>
        </is>
      </c>
      <c r="G27" s="61" t="n"/>
      <c r="H27" s="72" t="n">
        <v>637</v>
      </c>
      <c r="I27" s="73" t="inlineStr">
        <is>
          <t>KG</t>
        </is>
      </c>
      <c r="J27" s="74" t="n">
        <v>2.84</v>
      </c>
      <c r="K27" s="75" t="inlineStr">
        <is>
          <t>JPY</t>
        </is>
      </c>
      <c r="L27" s="76">
        <f>H27*J27</f>
        <v/>
      </c>
      <c r="M27" s="3" t="n"/>
      <c r="N27" s="3" t="n"/>
      <c r="O27" s="3" t="n"/>
      <c r="P27" s="3" t="n"/>
      <c r="Q27" s="3" t="n"/>
    </row>
    <row r="28">
      <c r="A28" s="67" t="n">
        <v>7</v>
      </c>
      <c r="B28" s="68" t="inlineStr">
        <is>
          <t>68358749</t>
        </is>
      </c>
      <c r="C28" s="69" t="inlineStr">
        <is>
          <t>99PRD010727</t>
        </is>
      </c>
      <c r="D28" s="70" t="inlineStr">
        <is>
          <t>CABBAGE BOK CHOY BABY</t>
        </is>
      </c>
      <c r="E28" s="71" t="inlineStr"/>
      <c r="F28" s="70" t="inlineStr">
        <is>
          <t>kg</t>
        </is>
      </c>
      <c r="G28" s="61" t="n"/>
      <c r="H28" s="72" t="n">
        <v>23</v>
      </c>
      <c r="I28" s="73" t="inlineStr">
        <is>
          <t>KG</t>
        </is>
      </c>
      <c r="J28" s="74" t="n">
        <v>3.46</v>
      </c>
      <c r="K28" s="75" t="inlineStr">
        <is>
          <t>JPY</t>
        </is>
      </c>
      <c r="L28" s="76">
        <f>H28*J28</f>
        <v/>
      </c>
      <c r="M28" s="3" t="n"/>
      <c r="N28" s="3" t="n"/>
      <c r="O28" s="3" t="n"/>
      <c r="P28" s="3" t="n"/>
      <c r="Q28" s="3" t="n"/>
    </row>
    <row r="29">
      <c r="A29" s="67" t="n">
        <v>8</v>
      </c>
      <c r="B29" s="68" t="inlineStr">
        <is>
          <t>68358749</t>
        </is>
      </c>
      <c r="C29" s="69" t="inlineStr">
        <is>
          <t>99PRD010728</t>
        </is>
      </c>
      <c r="D29" s="70" t="inlineStr">
        <is>
          <t>CABBAGE NAPA</t>
        </is>
      </c>
      <c r="E29" s="71" t="inlineStr"/>
      <c r="F29" s="70" t="inlineStr">
        <is>
          <t>kg</t>
        </is>
      </c>
      <c r="G29" s="61" t="n"/>
      <c r="H29" s="72" t="n">
        <v>150</v>
      </c>
      <c r="I29" s="73" t="inlineStr">
        <is>
          <t>KG</t>
        </is>
      </c>
      <c r="J29" s="74" t="n">
        <v>1.68</v>
      </c>
      <c r="K29" s="75" t="inlineStr">
        <is>
          <t>JPY</t>
        </is>
      </c>
      <c r="L29" s="76">
        <f>H29*J29</f>
        <v/>
      </c>
      <c r="M29" s="3" t="n"/>
      <c r="N29" s="3" t="n"/>
      <c r="O29" s="3" t="n"/>
      <c r="P29" s="3" t="n"/>
      <c r="Q29" s="3" t="n"/>
    </row>
    <row r="30">
      <c r="A30" s="67" t="n">
        <v>9</v>
      </c>
      <c r="B30" s="68" t="inlineStr">
        <is>
          <t>68358749</t>
        </is>
      </c>
      <c r="C30" s="69" t="inlineStr">
        <is>
          <t>99PRD010730</t>
        </is>
      </c>
      <c r="D30" s="70" t="inlineStr">
        <is>
          <t>CABBAGE GREEN</t>
        </is>
      </c>
      <c r="E30" s="71" t="inlineStr"/>
      <c r="F30" s="70" t="inlineStr">
        <is>
          <t>kg</t>
        </is>
      </c>
      <c r="G30" s="61" t="n"/>
      <c r="H30" s="72" t="n">
        <v>296</v>
      </c>
      <c r="I30" s="73" t="inlineStr">
        <is>
          <t>KG</t>
        </is>
      </c>
      <c r="J30" s="74" t="n">
        <v>4.99</v>
      </c>
      <c r="K30" s="75" t="inlineStr">
        <is>
          <t>JPY</t>
        </is>
      </c>
      <c r="L30" s="76">
        <f>H30*J30</f>
        <v/>
      </c>
      <c r="M30" s="3" t="n"/>
      <c r="N30" s="3" t="n"/>
      <c r="O30" s="3" t="n"/>
      <c r="P30" s="3" t="n"/>
      <c r="Q30" s="3" t="n"/>
    </row>
    <row r="31">
      <c r="A31" s="67" t="n">
        <v>10</v>
      </c>
      <c r="B31" s="68" t="inlineStr">
        <is>
          <t>68358749</t>
        </is>
      </c>
      <c r="C31" s="69" t="inlineStr">
        <is>
          <t>99PRD010745</t>
        </is>
      </c>
      <c r="D31" s="70" t="inlineStr">
        <is>
          <t>CARROT BABY WHOLE PEELED WITH GREEN TOP</t>
        </is>
      </c>
      <c r="E31" s="71" t="inlineStr"/>
      <c r="F31" s="70" t="inlineStr">
        <is>
          <t>kg</t>
        </is>
      </c>
      <c r="G31" s="61" t="n"/>
      <c r="H31" s="72" t="n">
        <v>35</v>
      </c>
      <c r="I31" s="73" t="inlineStr">
        <is>
          <t>KG</t>
        </is>
      </c>
      <c r="J31" s="74" t="n">
        <v>28</v>
      </c>
      <c r="K31" s="75" t="inlineStr">
        <is>
          <t>JPY</t>
        </is>
      </c>
      <c r="L31" s="76">
        <f>H31*J31</f>
        <v/>
      </c>
      <c r="M31" s="3" t="n"/>
      <c r="N31" s="3" t="n"/>
      <c r="O31" s="3" t="n"/>
      <c r="P31" s="3" t="n"/>
      <c r="Q31" s="3" t="n"/>
    </row>
    <row r="32">
      <c r="A32" s="67" t="n">
        <v>11</v>
      </c>
      <c r="B32" s="68" t="inlineStr">
        <is>
          <t>68358749</t>
        </is>
      </c>
      <c r="C32" s="69" t="inlineStr">
        <is>
          <t>99PRD010748</t>
        </is>
      </c>
      <c r="D32" s="70" t="inlineStr">
        <is>
          <t>CARROT JUMBO</t>
        </is>
      </c>
      <c r="E32" s="71" t="inlineStr"/>
      <c r="F32" s="70" t="inlineStr">
        <is>
          <t>kg</t>
        </is>
      </c>
      <c r="G32" s="61" t="n"/>
      <c r="H32" s="72" t="n">
        <v>1046</v>
      </c>
      <c r="I32" s="73" t="inlineStr">
        <is>
          <t>KG</t>
        </is>
      </c>
      <c r="J32" s="74" t="n">
        <v>0.76</v>
      </c>
      <c r="K32" s="75" t="inlineStr">
        <is>
          <t>JPY</t>
        </is>
      </c>
      <c r="L32" s="76">
        <f>H32*J32</f>
        <v/>
      </c>
      <c r="M32" s="3" t="n"/>
      <c r="N32" s="3" t="n"/>
      <c r="O32" s="3" t="n"/>
      <c r="P32" s="3" t="n"/>
      <c r="Q32" s="3" t="n"/>
    </row>
    <row r="33">
      <c r="A33" s="67" t="n">
        <v>12</v>
      </c>
      <c r="B33" s="68" t="inlineStr">
        <is>
          <t>68358749</t>
        </is>
      </c>
      <c r="C33" s="69" t="inlineStr">
        <is>
          <t>99PRD010750</t>
        </is>
      </c>
      <c r="D33" s="70" t="inlineStr">
        <is>
          <t>CAULIFLOWER 9-12CT/24LB</t>
        </is>
      </c>
      <c r="E33" s="71" t="inlineStr"/>
      <c r="F33" s="70" t="inlineStr">
        <is>
          <t>kg</t>
        </is>
      </c>
      <c r="G33" s="61" t="n"/>
      <c r="H33" s="72" t="n">
        <v>500</v>
      </c>
      <c r="I33" s="73" t="inlineStr">
        <is>
          <t>KG</t>
        </is>
      </c>
      <c r="J33" s="74" t="n">
        <v>1.8</v>
      </c>
      <c r="K33" s="75" t="inlineStr">
        <is>
          <t>JPY</t>
        </is>
      </c>
      <c r="L33" s="76">
        <f>H33*J33</f>
        <v/>
      </c>
      <c r="M33" s="3" t="n"/>
      <c r="N33" s="3" t="n"/>
      <c r="O33" s="3" t="n"/>
      <c r="P33" s="3" t="n"/>
      <c r="Q33" s="3" t="n"/>
    </row>
    <row r="34">
      <c r="A34" s="67" t="n">
        <v>13</v>
      </c>
      <c r="B34" s="68" t="inlineStr">
        <is>
          <t>68358749</t>
        </is>
      </c>
      <c r="C34" s="69" t="inlineStr">
        <is>
          <t>99PRD010762</t>
        </is>
      </c>
      <c r="D34" s="70" t="inlineStr">
        <is>
          <t>CELERY TABLE WASHED 36CT/55LB</t>
        </is>
      </c>
      <c r="E34" s="71" t="inlineStr"/>
      <c r="F34" s="70" t="inlineStr">
        <is>
          <t>kg</t>
        </is>
      </c>
      <c r="G34" s="61" t="n"/>
      <c r="H34" s="72" t="n">
        <v>173</v>
      </c>
      <c r="I34" s="73" t="inlineStr">
        <is>
          <t>KG</t>
        </is>
      </c>
      <c r="J34" s="74" t="n">
        <v>1.32</v>
      </c>
      <c r="K34" s="75" t="inlineStr">
        <is>
          <t>JPY</t>
        </is>
      </c>
      <c r="L34" s="76">
        <f>H34*J34</f>
        <v/>
      </c>
      <c r="M34" s="3" t="n"/>
      <c r="N34" s="3" t="n"/>
      <c r="O34" s="3" t="n"/>
      <c r="P34" s="3" t="n"/>
      <c r="Q34" s="3" t="n"/>
    </row>
    <row r="35">
      <c r="A35" s="67" t="n">
        <v>14</v>
      </c>
      <c r="B35" s="68" t="inlineStr">
        <is>
          <t>68358749</t>
        </is>
      </c>
      <c r="C35" s="69" t="inlineStr">
        <is>
          <t>99PRD010964</t>
        </is>
      </c>
      <c r="D35" s="70" t="inlineStr">
        <is>
          <t>CUCUMBER SELECT 84CT/50LB</t>
        </is>
      </c>
      <c r="E35" s="71" t="inlineStr"/>
      <c r="F35" s="70" t="inlineStr">
        <is>
          <t>kg</t>
        </is>
      </c>
      <c r="G35" s="61" t="n"/>
      <c r="H35" s="72" t="n">
        <v>500</v>
      </c>
      <c r="I35" s="73" t="inlineStr">
        <is>
          <t>KG</t>
        </is>
      </c>
      <c r="J35" s="74" t="n">
        <v>1.11</v>
      </c>
      <c r="K35" s="75" t="inlineStr">
        <is>
          <t>JPY</t>
        </is>
      </c>
      <c r="L35" s="76">
        <f>H35*J35</f>
        <v/>
      </c>
      <c r="M35" s="3" t="n"/>
      <c r="N35" s="3" t="n"/>
      <c r="O35" s="3" t="n"/>
      <c r="P35" s="3" t="n"/>
      <c r="Q35" s="3" t="n"/>
    </row>
    <row r="36">
      <c r="A36" s="67" t="n">
        <v>15</v>
      </c>
      <c r="B36" s="68" t="inlineStr">
        <is>
          <t>68358749</t>
        </is>
      </c>
      <c r="C36" s="69" t="inlineStr">
        <is>
          <t>99PRD011142</t>
        </is>
      </c>
      <c r="D36" s="70" t="inlineStr">
        <is>
          <t>GINGER LARGE HAND</t>
        </is>
      </c>
      <c r="E36" s="71" t="inlineStr"/>
      <c r="F36" s="70" t="inlineStr">
        <is>
          <t>kg</t>
        </is>
      </c>
      <c r="G36" s="61" t="n"/>
      <c r="H36" s="72" t="n">
        <v>50</v>
      </c>
      <c r="I36" s="73" t="inlineStr">
        <is>
          <t>KG</t>
        </is>
      </c>
      <c r="J36" s="74" t="n">
        <v>6.7</v>
      </c>
      <c r="K36" s="75" t="inlineStr">
        <is>
          <t>JPY</t>
        </is>
      </c>
      <c r="L36" s="76">
        <f>H36*J36</f>
        <v/>
      </c>
      <c r="M36" s="3" t="n"/>
      <c r="N36" s="3" t="n"/>
      <c r="O36" s="3" t="n"/>
      <c r="P36" s="3" t="n"/>
      <c r="Q36" s="3" t="n"/>
    </row>
    <row r="37">
      <c r="A37" s="67" t="n">
        <v>16</v>
      </c>
      <c r="B37" s="68" t="inlineStr">
        <is>
          <t>68358749</t>
        </is>
      </c>
      <c r="C37" s="69" t="inlineStr">
        <is>
          <t>99PRD011159</t>
        </is>
      </c>
      <c r="D37" s="70" t="inlineStr">
        <is>
          <t>GRAPES BLACK SEEDLESS MEDIUM</t>
        </is>
      </c>
      <c r="E37" s="71" t="inlineStr"/>
      <c r="F37" s="70" t="inlineStr">
        <is>
          <t>kg</t>
        </is>
      </c>
      <c r="G37" s="61" t="n"/>
      <c r="H37" s="72" t="n">
        <v>40</v>
      </c>
      <c r="I37" s="73" t="inlineStr">
        <is>
          <t>KG</t>
        </is>
      </c>
      <c r="J37" s="74" t="n">
        <v>4</v>
      </c>
      <c r="K37" s="75" t="inlineStr">
        <is>
          <t>JPY</t>
        </is>
      </c>
      <c r="L37" s="76">
        <f>H37*J37</f>
        <v/>
      </c>
      <c r="M37" s="3" t="n"/>
      <c r="N37" s="3" t="n"/>
      <c r="O37" s="3" t="n"/>
      <c r="P37" s="3" t="n"/>
      <c r="Q37" s="3" t="n"/>
    </row>
    <row r="38">
      <c r="A38" s="67" t="n">
        <v>17</v>
      </c>
      <c r="B38" s="68" t="inlineStr">
        <is>
          <t>68358749</t>
        </is>
      </c>
      <c r="C38" s="69" t="inlineStr">
        <is>
          <t>99PRD011160</t>
        </is>
      </c>
      <c r="D38" s="70" t="inlineStr">
        <is>
          <t>GRAPES RED SEEDLESS MEDIUM</t>
        </is>
      </c>
      <c r="E38" s="71" t="inlineStr"/>
      <c r="F38" s="70" t="inlineStr">
        <is>
          <t>kg</t>
        </is>
      </c>
      <c r="G38" s="61" t="n"/>
      <c r="H38" s="72" t="n">
        <v>228</v>
      </c>
      <c r="I38" s="73" t="inlineStr">
        <is>
          <t>KG</t>
        </is>
      </c>
      <c r="J38" s="74" t="n">
        <v>4</v>
      </c>
      <c r="K38" s="75" t="inlineStr">
        <is>
          <t>JPY</t>
        </is>
      </c>
      <c r="L38" s="76">
        <f>H38*J38</f>
        <v/>
      </c>
      <c r="M38" s="3" t="n"/>
      <c r="N38" s="3" t="n"/>
      <c r="O38" s="3" t="n"/>
      <c r="P38" s="3" t="n"/>
      <c r="Q38" s="3" t="n"/>
    </row>
    <row r="39">
      <c r="A39" s="67" t="n">
        <v>18</v>
      </c>
      <c r="B39" s="68" t="inlineStr">
        <is>
          <t>68358749</t>
        </is>
      </c>
      <c r="C39" s="69" t="inlineStr">
        <is>
          <t>99PRD011161</t>
        </is>
      </c>
      <c r="D39" s="70" t="inlineStr">
        <is>
          <t>GRAPES GREEN SEEDLESS MEDIUM</t>
        </is>
      </c>
      <c r="E39" s="71" t="inlineStr"/>
      <c r="F39" s="70" t="inlineStr">
        <is>
          <t>kg</t>
        </is>
      </c>
      <c r="G39" s="61" t="n"/>
      <c r="H39" s="72" t="n">
        <v>173</v>
      </c>
      <c r="I39" s="73" t="inlineStr">
        <is>
          <t>KG</t>
        </is>
      </c>
      <c r="J39" s="74" t="n">
        <v>4</v>
      </c>
      <c r="K39" s="75" t="inlineStr">
        <is>
          <t>JPY</t>
        </is>
      </c>
      <c r="L39" s="76">
        <f>H39*J39</f>
        <v/>
      </c>
      <c r="M39" s="3" t="n"/>
      <c r="N39" s="3" t="n"/>
      <c r="O39" s="3" t="n"/>
      <c r="P39" s="3" t="n"/>
      <c r="Q39" s="3" t="n"/>
    </row>
    <row r="40">
      <c r="A40" s="67" t="n">
        <v>19</v>
      </c>
      <c r="B40" s="68" t="inlineStr">
        <is>
          <t>68358749</t>
        </is>
      </c>
      <c r="C40" s="69" t="inlineStr">
        <is>
          <t>99PRD011162</t>
        </is>
      </c>
      <c r="D40" s="70" t="inlineStr">
        <is>
          <t>GRAPEFRUIT STAR RUBY 48CT/35LB</t>
        </is>
      </c>
      <c r="E40" s="71" t="inlineStr"/>
      <c r="F40" s="70" t="inlineStr">
        <is>
          <t>kg</t>
        </is>
      </c>
      <c r="G40" s="61" t="n"/>
      <c r="H40" s="72" t="n">
        <v>682</v>
      </c>
      <c r="I40" s="73" t="inlineStr">
        <is>
          <t>KG</t>
        </is>
      </c>
      <c r="J40" s="74" t="n">
        <v>1.48</v>
      </c>
      <c r="K40" s="75" t="inlineStr">
        <is>
          <t>JPY</t>
        </is>
      </c>
      <c r="L40" s="76">
        <f>H40*J40</f>
        <v/>
      </c>
      <c r="M40" s="3" t="n"/>
      <c r="N40" s="3" t="n"/>
      <c r="O40" s="3" t="n"/>
      <c r="P40" s="3" t="n"/>
      <c r="Q40" s="3" t="n"/>
    </row>
    <row r="41">
      <c r="A41" s="67" t="n">
        <v>20</v>
      </c>
      <c r="B41" s="68" t="inlineStr">
        <is>
          <t>68358749</t>
        </is>
      </c>
      <c r="C41" s="69" t="inlineStr">
        <is>
          <t>99PRD011177</t>
        </is>
      </c>
      <c r="D41" s="70" t="inlineStr">
        <is>
          <t>HERB CILANTRO 30CT/8LB</t>
        </is>
      </c>
      <c r="E41" s="71" t="inlineStr"/>
      <c r="F41" s="70" t="inlineStr">
        <is>
          <t>kg</t>
        </is>
      </c>
      <c r="G41" s="61" t="n"/>
      <c r="H41" s="72" t="n">
        <v>30</v>
      </c>
      <c r="I41" s="73" t="inlineStr">
        <is>
          <t>KG</t>
        </is>
      </c>
      <c r="J41" s="74" t="n">
        <v>13.59</v>
      </c>
      <c r="K41" s="75" t="inlineStr">
        <is>
          <t>JPY</t>
        </is>
      </c>
      <c r="L41" s="76">
        <f>H41*J41</f>
        <v/>
      </c>
      <c r="M41" s="3" t="n"/>
      <c r="N41" s="3" t="n"/>
      <c r="O41" s="3" t="n"/>
      <c r="P41" s="3" t="n"/>
      <c r="Q41" s="3" t="n"/>
    </row>
    <row r="42">
      <c r="A42" s="67" t="n">
        <v>21</v>
      </c>
      <c r="B42" s="68" t="inlineStr">
        <is>
          <t>68358749</t>
        </is>
      </c>
      <c r="C42" s="69" t="inlineStr">
        <is>
          <t>99PRD011178</t>
        </is>
      </c>
      <c r="D42" s="70" t="inlineStr">
        <is>
          <t>HERB DILL</t>
        </is>
      </c>
      <c r="E42" s="71" t="inlineStr"/>
      <c r="F42" s="70" t="inlineStr">
        <is>
          <t>kg</t>
        </is>
      </c>
      <c r="G42" s="61" t="n"/>
      <c r="H42" s="72" t="n">
        <v>5</v>
      </c>
      <c r="I42" s="73" t="inlineStr">
        <is>
          <t>KG</t>
        </is>
      </c>
      <c r="J42" s="74" t="n">
        <v>16.98</v>
      </c>
      <c r="K42" s="75" t="inlineStr">
        <is>
          <t>JPY</t>
        </is>
      </c>
      <c r="L42" s="76">
        <f>H42*J42</f>
        <v/>
      </c>
      <c r="M42" s="3" t="n"/>
      <c r="N42" s="3" t="n"/>
      <c r="O42" s="3" t="n"/>
      <c r="P42" s="3" t="n"/>
      <c r="Q42" s="3" t="n"/>
    </row>
    <row r="43">
      <c r="A43" s="67" t="n">
        <v>22</v>
      </c>
      <c r="B43" s="68" t="inlineStr">
        <is>
          <t>68358749</t>
        </is>
      </c>
      <c r="C43" s="69" t="inlineStr">
        <is>
          <t>99PRD011179</t>
        </is>
      </c>
      <c r="D43" s="70" t="inlineStr">
        <is>
          <t>HERB FENNEL/ANISE 24-30CT/35LB</t>
        </is>
      </c>
      <c r="E43" s="71" t="inlineStr"/>
      <c r="F43" s="70" t="inlineStr">
        <is>
          <t>kg</t>
        </is>
      </c>
      <c r="G43" s="61" t="n"/>
      <c r="H43" s="72" t="n">
        <v>55</v>
      </c>
      <c r="I43" s="73" t="inlineStr">
        <is>
          <t>KG</t>
        </is>
      </c>
      <c r="J43" s="74" t="n">
        <v>2.79</v>
      </c>
      <c r="K43" s="75" t="inlineStr">
        <is>
          <t>JPY</t>
        </is>
      </c>
      <c r="L43" s="76">
        <f>H43*J43</f>
        <v/>
      </c>
      <c r="M43" s="3" t="n"/>
      <c r="N43" s="3" t="n"/>
      <c r="O43" s="3" t="n"/>
      <c r="P43" s="3" t="n"/>
      <c r="Q43" s="3" t="n"/>
    </row>
    <row r="44">
      <c r="A44" s="67" t="n">
        <v>23</v>
      </c>
      <c r="B44" s="68" t="inlineStr">
        <is>
          <t>68358749</t>
        </is>
      </c>
      <c r="C44" s="69" t="inlineStr">
        <is>
          <t>99PRD011181</t>
        </is>
      </c>
      <c r="D44" s="70" t="inlineStr">
        <is>
          <t>HERB LEMONGRASS</t>
        </is>
      </c>
      <c r="E44" s="71" t="inlineStr"/>
      <c r="F44" s="70" t="inlineStr">
        <is>
          <t>kg</t>
        </is>
      </c>
      <c r="G44" s="61" t="n"/>
      <c r="H44" s="72" t="n">
        <v>12</v>
      </c>
      <c r="I44" s="73" t="inlineStr">
        <is>
          <t>KG</t>
        </is>
      </c>
      <c r="J44" s="74" t="n">
        <v>7.99</v>
      </c>
      <c r="K44" s="75" t="inlineStr">
        <is>
          <t>JPY</t>
        </is>
      </c>
      <c r="L44" s="76">
        <f>H44*J44</f>
        <v/>
      </c>
      <c r="M44" s="3" t="n"/>
      <c r="N44" s="3" t="n"/>
      <c r="O44" s="3" t="n"/>
      <c r="P44" s="3" t="n"/>
      <c r="Q44" s="3" t="n"/>
    </row>
    <row r="45">
      <c r="A45" s="67" t="n">
        <v>24</v>
      </c>
      <c r="B45" s="68" t="inlineStr">
        <is>
          <t>68358749</t>
        </is>
      </c>
      <c r="C45" s="69" t="inlineStr">
        <is>
          <t>99PRD011183</t>
        </is>
      </c>
      <c r="D45" s="70" t="inlineStr">
        <is>
          <t>HERB MINT</t>
        </is>
      </c>
      <c r="E45" s="71" t="inlineStr"/>
      <c r="F45" s="70" t="inlineStr">
        <is>
          <t>kg</t>
        </is>
      </c>
      <c r="G45" s="61" t="n"/>
      <c r="H45" s="72" t="n">
        <v>23</v>
      </c>
      <c r="I45" s="73" t="inlineStr">
        <is>
          <t>KG</t>
        </is>
      </c>
      <c r="J45" s="74" t="n">
        <v>15.99</v>
      </c>
      <c r="K45" s="75" t="inlineStr">
        <is>
          <t>JPY</t>
        </is>
      </c>
      <c r="L45" s="76">
        <f>H45*J45</f>
        <v/>
      </c>
      <c r="M45" s="3" t="n"/>
      <c r="N45" s="3" t="n"/>
      <c r="O45" s="3" t="n"/>
      <c r="P45" s="3" t="n"/>
      <c r="Q45" s="3" t="n"/>
    </row>
    <row r="46">
      <c r="A46" s="67" t="n">
        <v>25</v>
      </c>
      <c r="B46" s="68" t="inlineStr">
        <is>
          <t>68358749</t>
        </is>
      </c>
      <c r="C46" s="69" t="inlineStr">
        <is>
          <t>99PRD011186</t>
        </is>
      </c>
      <c r="D46" s="70" t="inlineStr">
        <is>
          <t>HERB PARSLEY ITALIAN FLAT 60CT</t>
        </is>
      </c>
      <c r="E46" s="71" t="inlineStr"/>
      <c r="F46" s="70" t="inlineStr">
        <is>
          <t>kg</t>
        </is>
      </c>
      <c r="G46" s="61" t="n"/>
      <c r="H46" s="72" t="n">
        <v>28</v>
      </c>
      <c r="I46" s="73" t="inlineStr">
        <is>
          <t>KG</t>
        </is>
      </c>
      <c r="J46" s="74" t="n">
        <v>11</v>
      </c>
      <c r="K46" s="75" t="inlineStr">
        <is>
          <t>JPY</t>
        </is>
      </c>
      <c r="L46" s="76">
        <f>H46*J46</f>
        <v/>
      </c>
      <c r="M46" s="3" t="n"/>
      <c r="N46" s="3" t="n"/>
      <c r="O46" s="3" t="n"/>
      <c r="P46" s="3" t="n"/>
      <c r="Q46" s="3" t="n"/>
    </row>
    <row r="47">
      <c r="A47" s="67" t="n">
        <v>26</v>
      </c>
      <c r="B47" s="68" t="inlineStr">
        <is>
          <t>68358749</t>
        </is>
      </c>
      <c r="C47" s="69" t="inlineStr">
        <is>
          <t>99PRD011187</t>
        </is>
      </c>
      <c r="D47" s="70" t="inlineStr">
        <is>
          <t>HERB ROSEMARY</t>
        </is>
      </c>
      <c r="E47" s="71" t="inlineStr"/>
      <c r="F47" s="70" t="inlineStr">
        <is>
          <t>kg</t>
        </is>
      </c>
      <c r="G47" s="61" t="n"/>
      <c r="H47" s="72" t="n">
        <v>5</v>
      </c>
      <c r="I47" s="73" t="inlineStr">
        <is>
          <t>KG</t>
        </is>
      </c>
      <c r="J47" s="74" t="n">
        <v>28</v>
      </c>
      <c r="K47" s="75" t="inlineStr">
        <is>
          <t>JPY</t>
        </is>
      </c>
      <c r="L47" s="76">
        <f>H47*J47</f>
        <v/>
      </c>
      <c r="M47" s="3" t="n"/>
      <c r="N47" s="3" t="n"/>
      <c r="O47" s="3" t="n"/>
      <c r="P47" s="3" t="n"/>
      <c r="Q47" s="3" t="n"/>
    </row>
    <row r="48">
      <c r="A48" s="67" t="n">
        <v>27</v>
      </c>
      <c r="B48" s="68" t="inlineStr">
        <is>
          <t>68358749</t>
        </is>
      </c>
      <c r="C48" s="69" t="inlineStr">
        <is>
          <t>99PRD011188</t>
        </is>
      </c>
      <c r="D48" s="70" t="inlineStr">
        <is>
          <t>HERB SAGE</t>
        </is>
      </c>
      <c r="E48" s="71" t="inlineStr"/>
      <c r="F48" s="70" t="inlineStr">
        <is>
          <t>kg</t>
        </is>
      </c>
      <c r="G48" s="61" t="n"/>
      <c r="H48" s="72" t="n">
        <v>4</v>
      </c>
      <c r="I48" s="73" t="inlineStr">
        <is>
          <t>KG</t>
        </is>
      </c>
      <c r="J48" s="74" t="n">
        <v>34.99</v>
      </c>
      <c r="K48" s="75" t="inlineStr">
        <is>
          <t>JPY</t>
        </is>
      </c>
      <c r="L48" s="76">
        <f>H48*J48</f>
        <v/>
      </c>
      <c r="M48" s="3" t="n"/>
      <c r="N48" s="3" t="n"/>
      <c r="O48" s="3" t="n"/>
      <c r="P48" s="3" t="n"/>
      <c r="Q48" s="3" t="n"/>
    </row>
    <row r="49">
      <c r="A49" s="67" t="n">
        <v>28</v>
      </c>
      <c r="B49" s="68" t="inlineStr">
        <is>
          <t>68358749</t>
        </is>
      </c>
      <c r="C49" s="69" t="inlineStr">
        <is>
          <t>99PRD011269</t>
        </is>
      </c>
      <c r="D49" s="70" t="inlineStr">
        <is>
          <t>KIWIFRUIT 20LB</t>
        </is>
      </c>
      <c r="E49" s="71" t="inlineStr"/>
      <c r="F49" s="70" t="inlineStr">
        <is>
          <t>kg</t>
        </is>
      </c>
      <c r="G49" s="61" t="n"/>
      <c r="H49" s="72" t="n">
        <v>114</v>
      </c>
      <c r="I49" s="73" t="inlineStr">
        <is>
          <t>KG</t>
        </is>
      </c>
      <c r="J49" s="74" t="n">
        <v>4.42</v>
      </c>
      <c r="K49" s="75" t="inlineStr">
        <is>
          <t>JPY</t>
        </is>
      </c>
      <c r="L49" s="76">
        <f>H49*J49</f>
        <v/>
      </c>
      <c r="M49" s="3" t="n"/>
      <c r="N49" s="3" t="n"/>
      <c r="O49" s="3" t="n"/>
      <c r="P49" s="3" t="n"/>
      <c r="Q49" s="3" t="n"/>
    </row>
    <row r="50">
      <c r="A50" s="67" t="n">
        <v>29</v>
      </c>
      <c r="B50" s="68" t="inlineStr">
        <is>
          <t>68358749</t>
        </is>
      </c>
      <c r="C50" s="69" t="inlineStr">
        <is>
          <t>99PRD011337</t>
        </is>
      </c>
      <c r="D50" s="70" t="inlineStr">
        <is>
          <t>LEMON CHOICE 235CT/38LB</t>
        </is>
      </c>
      <c r="E50" s="71" t="inlineStr"/>
      <c r="F50" s="70" t="inlineStr">
        <is>
          <t>kg</t>
        </is>
      </c>
      <c r="G50" s="61" t="n"/>
      <c r="H50" s="72" t="n">
        <v>591</v>
      </c>
      <c r="I50" s="73" t="inlineStr">
        <is>
          <t>KG</t>
        </is>
      </c>
      <c r="J50" s="74" t="n">
        <v>2.4</v>
      </c>
      <c r="K50" s="75" t="inlineStr">
        <is>
          <t>JPY</t>
        </is>
      </c>
      <c r="L50" s="76">
        <f>H50*J50</f>
        <v/>
      </c>
      <c r="M50" s="3" t="n"/>
      <c r="N50" s="3" t="n"/>
      <c r="O50" s="3" t="n"/>
      <c r="P50" s="3" t="n"/>
      <c r="Q50" s="3" t="n"/>
    </row>
    <row r="51">
      <c r="A51" s="67" t="n">
        <v>30</v>
      </c>
      <c r="B51" s="68" t="inlineStr">
        <is>
          <t>68358749</t>
        </is>
      </c>
      <c r="C51" s="69" t="inlineStr">
        <is>
          <t>99PRD011341</t>
        </is>
      </c>
      <c r="D51" s="70" t="inlineStr">
        <is>
          <t>LETTUCE ARUGULA BABY</t>
        </is>
      </c>
      <c r="E51" s="71" t="inlineStr"/>
      <c r="F51" s="77" t="n"/>
      <c r="G51" s="61" t="n"/>
      <c r="H51" s="72" t="n">
        <v>55</v>
      </c>
      <c r="I51" s="73" t="inlineStr">
        <is>
          <t>kg</t>
        </is>
      </c>
      <c r="J51" s="74" t="n">
        <v>3.79</v>
      </c>
      <c r="K51" s="75" t="inlineStr">
        <is>
          <t>JPY</t>
        </is>
      </c>
      <c r="L51" s="76">
        <f>H51*J51</f>
        <v/>
      </c>
      <c r="M51" s="3" t="n"/>
      <c r="N51" s="3" t="n"/>
      <c r="O51" s="3" t="n"/>
      <c r="P51" s="3" t="n"/>
      <c r="Q51" s="3" t="n"/>
    </row>
    <row r="52">
      <c r="A52" s="67" t="n">
        <v>31</v>
      </c>
      <c r="B52" s="68" t="inlineStr">
        <is>
          <t>68358749</t>
        </is>
      </c>
      <c r="C52" s="69" t="inlineStr">
        <is>
          <t>99PRD011345</t>
        </is>
      </c>
      <c r="D52" s="70" t="inlineStr">
        <is>
          <t>LETTUCE ENDIVE BELGIUM GREEN</t>
        </is>
      </c>
      <c r="E52" s="71" t="inlineStr"/>
      <c r="F52" s="70" t="inlineStr">
        <is>
          <t>kg</t>
        </is>
      </c>
      <c r="G52" s="61" t="n"/>
      <c r="H52" s="72" t="n">
        <v>10</v>
      </c>
      <c r="I52" s="73" t="inlineStr">
        <is>
          <t>KG</t>
        </is>
      </c>
      <c r="J52" s="74" t="n">
        <v>3.66</v>
      </c>
      <c r="K52" s="75" t="inlineStr">
        <is>
          <t>JPY</t>
        </is>
      </c>
      <c r="L52" s="76">
        <f>H52*J52</f>
        <v/>
      </c>
      <c r="M52" s="3" t="n"/>
      <c r="N52" s="3" t="n"/>
      <c r="O52" s="3" t="n"/>
      <c r="P52" s="3" t="n"/>
      <c r="Q52" s="3" t="n"/>
    </row>
    <row r="53">
      <c r="A53" s="67" t="n">
        <v>32</v>
      </c>
      <c r="B53" s="68" t="inlineStr">
        <is>
          <t>68358749</t>
        </is>
      </c>
      <c r="C53" s="69" t="inlineStr">
        <is>
          <t>99PRD011349</t>
        </is>
      </c>
      <c r="D53" s="70" t="inlineStr">
        <is>
          <t>LETTUCE ICEBERG 24CT/50LB</t>
        </is>
      </c>
      <c r="E53" s="71" t="inlineStr"/>
      <c r="F53" s="70" t="inlineStr">
        <is>
          <t>kg</t>
        </is>
      </c>
      <c r="G53" s="61" t="n"/>
      <c r="H53" s="72" t="n">
        <v>341</v>
      </c>
      <c r="I53" s="73" t="inlineStr">
        <is>
          <t>KG</t>
        </is>
      </c>
      <c r="J53" s="74" t="n">
        <v>1.85</v>
      </c>
      <c r="K53" s="75" t="inlineStr">
        <is>
          <t>JPY</t>
        </is>
      </c>
      <c r="L53" s="76">
        <f>H53*J53</f>
        <v/>
      </c>
      <c r="M53" s="3" t="n"/>
      <c r="N53" s="3" t="n"/>
      <c r="O53" s="3" t="n"/>
      <c r="P53" s="3" t="n"/>
      <c r="Q53" s="3" t="n"/>
    </row>
    <row r="54">
      <c r="A54" s="67" t="n">
        <v>33</v>
      </c>
      <c r="B54" s="68" t="inlineStr">
        <is>
          <t>68358749</t>
        </is>
      </c>
      <c r="C54" s="69" t="inlineStr">
        <is>
          <t>99PRD011350</t>
        </is>
      </c>
      <c r="D54" s="70" t="inlineStr">
        <is>
          <t>LETTUCE KALE GREEN</t>
        </is>
      </c>
      <c r="E54" s="71" t="inlineStr"/>
      <c r="F54" s="70" t="inlineStr">
        <is>
          <t>kg</t>
        </is>
      </c>
      <c r="G54" s="61" t="n"/>
      <c r="H54" s="72" t="n">
        <v>23</v>
      </c>
      <c r="I54" s="73" t="inlineStr">
        <is>
          <t>KG</t>
        </is>
      </c>
      <c r="J54" s="74" t="n">
        <v>2.99</v>
      </c>
      <c r="K54" s="75" t="inlineStr">
        <is>
          <t>JPY</t>
        </is>
      </c>
      <c r="L54" s="76">
        <f>H54*J54</f>
        <v/>
      </c>
      <c r="M54" s="3" t="n"/>
      <c r="N54" s="3" t="n"/>
      <c r="O54" s="3" t="n"/>
      <c r="P54" s="3" t="n"/>
      <c r="Q54" s="3" t="n"/>
    </row>
    <row r="55">
      <c r="A55" s="67" t="n">
        <v>34</v>
      </c>
      <c r="B55" s="68" t="inlineStr">
        <is>
          <t>68358749</t>
        </is>
      </c>
      <c r="C55" s="69" t="inlineStr">
        <is>
          <t>99PRD011356</t>
        </is>
      </c>
      <c r="D55" s="70" t="inlineStr">
        <is>
          <t>LETTUCE ROMAINE 24CT/40LB</t>
        </is>
      </c>
      <c r="E55" s="71" t="inlineStr"/>
      <c r="F55" s="70" t="inlineStr">
        <is>
          <t>kg</t>
        </is>
      </c>
      <c r="G55" s="61" t="n"/>
      <c r="H55" s="72" t="n">
        <v>637</v>
      </c>
      <c r="I55" s="73" t="inlineStr">
        <is>
          <t>KG</t>
        </is>
      </c>
      <c r="J55" s="74" t="n">
        <v>1.8</v>
      </c>
      <c r="K55" s="75" t="inlineStr">
        <is>
          <t>JPY</t>
        </is>
      </c>
      <c r="L55" s="76">
        <f>H55*J55</f>
        <v/>
      </c>
      <c r="M55" s="3" t="n"/>
      <c r="N55" s="3" t="n"/>
      <c r="O55" s="3" t="n"/>
      <c r="P55" s="3" t="n"/>
      <c r="Q55" s="3" t="n"/>
    </row>
    <row r="56">
      <c r="A56" s="67" t="n">
        <v>35</v>
      </c>
      <c r="B56" s="68" t="inlineStr">
        <is>
          <t>68358749</t>
        </is>
      </c>
      <c r="C56" s="69" t="inlineStr">
        <is>
          <t>99PRD011357</t>
        </is>
      </c>
      <c r="D56" s="70" t="inlineStr">
        <is>
          <t>LIME 250CT/38LB</t>
        </is>
      </c>
      <c r="E56" s="71" t="inlineStr"/>
      <c r="F56" s="70" t="inlineStr">
        <is>
          <t>kg</t>
        </is>
      </c>
      <c r="G56" s="61" t="n"/>
      <c r="H56" s="72" t="n">
        <v>164</v>
      </c>
      <c r="I56" s="73" t="inlineStr">
        <is>
          <t>KG</t>
        </is>
      </c>
      <c r="J56" s="74" t="n">
        <v>3.8</v>
      </c>
      <c r="K56" s="75" t="inlineStr">
        <is>
          <t>JPY</t>
        </is>
      </c>
      <c r="L56" s="76">
        <f>H56*J56</f>
        <v/>
      </c>
      <c r="M56" s="3" t="n"/>
      <c r="N56" s="3" t="n"/>
      <c r="O56" s="3" t="n"/>
      <c r="P56" s="3" t="n"/>
      <c r="Q56" s="3" t="n"/>
    </row>
    <row r="57">
      <c r="A57" s="67" t="n">
        <v>36</v>
      </c>
      <c r="B57" s="68" t="inlineStr">
        <is>
          <t>68358749</t>
        </is>
      </c>
      <c r="C57" s="69" t="inlineStr">
        <is>
          <t>99PRD011371</t>
        </is>
      </c>
      <c r="D57" s="70" t="inlineStr">
        <is>
          <t>MANGO 3/4 RIPE 8-9CT/8LB</t>
        </is>
      </c>
      <c r="E57" s="71" t="inlineStr"/>
      <c r="F57" s="70" t="inlineStr">
        <is>
          <t>kg</t>
        </is>
      </c>
      <c r="G57" s="61" t="n"/>
      <c r="H57" s="72" t="n">
        <v>150</v>
      </c>
      <c r="I57" s="73" t="inlineStr">
        <is>
          <t>KG</t>
        </is>
      </c>
      <c r="J57" s="74" t="n">
        <v>3.48</v>
      </c>
      <c r="K57" s="75" t="inlineStr">
        <is>
          <t>JPY</t>
        </is>
      </c>
      <c r="L57" s="76">
        <f>H57*J57</f>
        <v/>
      </c>
      <c r="M57" s="3" t="n"/>
      <c r="N57" s="3" t="n"/>
      <c r="O57" s="3" t="n"/>
      <c r="P57" s="3" t="n"/>
      <c r="Q57" s="3" t="n"/>
    </row>
    <row r="58">
      <c r="A58" s="67" t="n">
        <v>37</v>
      </c>
      <c r="B58" s="68" t="inlineStr">
        <is>
          <t>68358749</t>
        </is>
      </c>
      <c r="C58" s="69" t="inlineStr">
        <is>
          <t>99PRD011389</t>
        </is>
      </c>
      <c r="D58" s="70" t="inlineStr">
        <is>
          <t>MELON HONEYDEW JUMBO 5-6CT/35LB</t>
        </is>
      </c>
      <c r="E58" s="71" t="inlineStr"/>
      <c r="F58" s="70" t="inlineStr">
        <is>
          <t>kg</t>
        </is>
      </c>
      <c r="G58" s="61" t="n"/>
      <c r="H58" s="72" t="n">
        <v>2046</v>
      </c>
      <c r="I58" s="73" t="inlineStr">
        <is>
          <t>KG</t>
        </is>
      </c>
      <c r="J58" s="74" t="n">
        <v>1.09</v>
      </c>
      <c r="K58" s="75" t="inlineStr">
        <is>
          <t>JPY</t>
        </is>
      </c>
      <c r="L58" s="76">
        <f>H58*J58</f>
        <v/>
      </c>
      <c r="M58" s="3" t="n"/>
      <c r="N58" s="3" t="n"/>
      <c r="O58" s="3" t="n"/>
      <c r="P58" s="3" t="n"/>
      <c r="Q58" s="3" t="n"/>
    </row>
    <row r="59">
      <c r="A59" s="67" t="n">
        <v>38</v>
      </c>
      <c r="B59" s="68" t="inlineStr">
        <is>
          <t>68358749</t>
        </is>
      </c>
      <c r="C59" s="69" t="inlineStr">
        <is>
          <t>99PRD011458</t>
        </is>
      </c>
      <c r="D59" s="70" t="inlineStr">
        <is>
          <t>MUSHROOM BUTTON EXPORT MEDIUM CLEANED</t>
        </is>
      </c>
      <c r="E59" s="71" t="inlineStr"/>
      <c r="F59" s="70" t="inlineStr">
        <is>
          <t>kg</t>
        </is>
      </c>
      <c r="G59" s="61" t="n"/>
      <c r="H59" s="72" t="n">
        <v>841</v>
      </c>
      <c r="I59" s="73" t="inlineStr">
        <is>
          <t>KG</t>
        </is>
      </c>
      <c r="J59" s="74" t="n">
        <v>5.2</v>
      </c>
      <c r="K59" s="75" t="inlineStr">
        <is>
          <t>JPY</t>
        </is>
      </c>
      <c r="L59" s="76">
        <f>H59*J59</f>
        <v/>
      </c>
      <c r="M59" s="3" t="n"/>
      <c r="N59" s="3" t="n"/>
      <c r="O59" s="3" t="n"/>
      <c r="P59" s="3" t="n"/>
      <c r="Q59" s="3" t="n"/>
    </row>
    <row r="60">
      <c r="A60" s="67" t="n">
        <v>39</v>
      </c>
      <c r="B60" s="68" t="inlineStr">
        <is>
          <t>68358749</t>
        </is>
      </c>
      <c r="C60" s="69" t="inlineStr">
        <is>
          <t>99PRD011463</t>
        </is>
      </c>
      <c r="D60" s="70" t="inlineStr">
        <is>
          <t>MUSHROOM OYSTER FIRM</t>
        </is>
      </c>
      <c r="E60" s="71" t="inlineStr"/>
      <c r="F60" s="70" t="inlineStr">
        <is>
          <t>kg</t>
        </is>
      </c>
      <c r="G60" s="61" t="n"/>
      <c r="H60" s="72" t="n">
        <v>5</v>
      </c>
      <c r="I60" s="73" t="inlineStr">
        <is>
          <t>KG</t>
        </is>
      </c>
      <c r="J60" s="74" t="n">
        <v>23.53</v>
      </c>
      <c r="K60" s="75" t="inlineStr">
        <is>
          <t>JPY</t>
        </is>
      </c>
      <c r="L60" s="76">
        <f>H60*J60</f>
        <v/>
      </c>
      <c r="M60" s="3" t="n"/>
      <c r="N60" s="3" t="n"/>
      <c r="O60" s="3" t="n"/>
      <c r="P60" s="3" t="n"/>
      <c r="Q60" s="3" t="n"/>
    </row>
    <row r="61">
      <c r="A61" s="67" t="n">
        <v>40</v>
      </c>
      <c r="B61" s="68" t="inlineStr">
        <is>
          <t>68358749</t>
        </is>
      </c>
      <c r="C61" s="69" t="inlineStr">
        <is>
          <t>99PRD011469</t>
        </is>
      </c>
      <c r="D61" s="70" t="inlineStr">
        <is>
          <t>MUSHROOM SHITAKE CLEAN #2</t>
        </is>
      </c>
      <c r="E61" s="71" t="inlineStr"/>
      <c r="F61" s="70" t="inlineStr">
        <is>
          <t>kg</t>
        </is>
      </c>
      <c r="G61" s="61" t="n"/>
      <c r="H61" s="72" t="n">
        <v>7</v>
      </c>
      <c r="I61" s="73" t="inlineStr">
        <is>
          <t>KG</t>
        </is>
      </c>
      <c r="J61" s="74" t="n">
        <v>17.88</v>
      </c>
      <c r="K61" s="75" t="inlineStr">
        <is>
          <t>JPY</t>
        </is>
      </c>
      <c r="L61" s="76">
        <f>H61*J61</f>
        <v/>
      </c>
      <c r="M61" s="3" t="n"/>
      <c r="N61" s="3" t="n"/>
      <c r="O61" s="3" t="n"/>
      <c r="P61" s="3" t="n"/>
      <c r="Q61" s="3" t="n"/>
    </row>
    <row r="62">
      <c r="A62" s="67" t="n">
        <v>41</v>
      </c>
      <c r="B62" s="68" t="inlineStr">
        <is>
          <t>68358749</t>
        </is>
      </c>
      <c r="C62" s="69" t="inlineStr">
        <is>
          <t>99PRD011551</t>
        </is>
      </c>
      <c r="D62" s="70" t="inlineStr">
        <is>
          <t>ONION RED MEDIUM</t>
        </is>
      </c>
      <c r="E62" s="71" t="inlineStr"/>
      <c r="F62" s="70" t="inlineStr">
        <is>
          <t>kg</t>
        </is>
      </c>
      <c r="G62" s="61" t="n"/>
      <c r="H62" s="72" t="n">
        <v>273</v>
      </c>
      <c r="I62" s="73" t="inlineStr">
        <is>
          <t>KG</t>
        </is>
      </c>
      <c r="J62" s="74" t="n">
        <v>1.39</v>
      </c>
      <c r="K62" s="75" t="inlineStr">
        <is>
          <t>JPY</t>
        </is>
      </c>
      <c r="L62" s="76">
        <f>H62*J62</f>
        <v/>
      </c>
      <c r="M62" s="3" t="n"/>
      <c r="N62" s="3" t="n"/>
      <c r="O62" s="3" t="n"/>
      <c r="P62" s="3" t="n"/>
      <c r="Q62" s="3" t="n"/>
    </row>
    <row r="63">
      <c r="A63" s="67" t="n">
        <v>42</v>
      </c>
      <c r="B63" s="68" t="inlineStr">
        <is>
          <t>68358749</t>
        </is>
      </c>
      <c r="C63" s="69" t="inlineStr">
        <is>
          <t>99PRD011646</t>
        </is>
      </c>
      <c r="D63" s="70" t="inlineStr">
        <is>
          <t>PEPPER BELL GREEN CHOICE</t>
        </is>
      </c>
      <c r="E63" s="71" t="inlineStr"/>
      <c r="F63" s="70" t="inlineStr">
        <is>
          <t>kg</t>
        </is>
      </c>
      <c r="G63" s="61" t="n"/>
      <c r="H63" s="72" t="n">
        <v>455</v>
      </c>
      <c r="I63" s="73" t="inlineStr">
        <is>
          <t>KG</t>
        </is>
      </c>
      <c r="J63" s="74" t="n">
        <v>3</v>
      </c>
      <c r="K63" s="75" t="inlineStr">
        <is>
          <t>JPY</t>
        </is>
      </c>
      <c r="L63" s="76">
        <f>H63*J63</f>
        <v/>
      </c>
      <c r="M63" s="3" t="n"/>
      <c r="N63" s="3" t="n"/>
      <c r="O63" s="3" t="n"/>
      <c r="P63" s="3" t="n"/>
      <c r="Q63" s="3" t="n"/>
    </row>
    <row r="64">
      <c r="A64" s="67" t="n">
        <v>43</v>
      </c>
      <c r="B64" s="68" t="inlineStr">
        <is>
          <t>68358749</t>
        </is>
      </c>
      <c r="C64" s="69" t="inlineStr">
        <is>
          <t>99PRD011647</t>
        </is>
      </c>
      <c r="D64" s="70" t="inlineStr">
        <is>
          <t>PEPPER BELL RED CHOICE</t>
        </is>
      </c>
      <c r="E64" s="71" t="inlineStr"/>
      <c r="F64" s="70" t="inlineStr">
        <is>
          <t>kg</t>
        </is>
      </c>
      <c r="G64" s="61" t="n"/>
      <c r="H64" s="72" t="n">
        <v>450</v>
      </c>
      <c r="I64" s="73" t="inlineStr">
        <is>
          <t>KG</t>
        </is>
      </c>
      <c r="J64" s="74" t="n">
        <v>2.99</v>
      </c>
      <c r="K64" s="75" t="inlineStr">
        <is>
          <t>JPY</t>
        </is>
      </c>
      <c r="L64" s="76">
        <f>H64*J64</f>
        <v/>
      </c>
      <c r="M64" s="3" t="n"/>
      <c r="N64" s="3" t="n"/>
      <c r="O64" s="3" t="n"/>
      <c r="P64" s="3" t="n"/>
      <c r="Q64" s="3" t="n"/>
    </row>
    <row r="65">
      <c r="A65" s="67" t="n">
        <v>44</v>
      </c>
      <c r="B65" s="68" t="inlineStr">
        <is>
          <t>68358749</t>
        </is>
      </c>
      <c r="C65" s="69" t="inlineStr">
        <is>
          <t>99PRD011648</t>
        </is>
      </c>
      <c r="D65" s="70" t="inlineStr">
        <is>
          <t>PEPPER BELL YELLOW CHOICE</t>
        </is>
      </c>
      <c r="E65" s="71" t="inlineStr"/>
      <c r="F65" s="70" t="inlineStr">
        <is>
          <t>kg</t>
        </is>
      </c>
      <c r="G65" s="61" t="n"/>
      <c r="H65" s="72" t="n">
        <v>410</v>
      </c>
      <c r="I65" s="73" t="inlineStr">
        <is>
          <t>KG</t>
        </is>
      </c>
      <c r="J65" s="74" t="n">
        <v>4</v>
      </c>
      <c r="K65" s="75" t="inlineStr">
        <is>
          <t>JPY</t>
        </is>
      </c>
      <c r="L65" s="76">
        <f>H65*J65</f>
        <v/>
      </c>
      <c r="M65" s="3" t="n"/>
      <c r="N65" s="3" t="n"/>
      <c r="O65" s="3" t="n"/>
      <c r="P65" s="3" t="n"/>
      <c r="Q65" s="3" t="n"/>
    </row>
    <row r="66">
      <c r="A66" s="67" t="n">
        <v>45</v>
      </c>
      <c r="B66" s="68" t="inlineStr">
        <is>
          <t>68358749</t>
        </is>
      </c>
      <c r="C66" s="69" t="inlineStr">
        <is>
          <t>99PRD011712</t>
        </is>
      </c>
      <c r="D66" s="70" t="inlineStr">
        <is>
          <t>POTATO SWEET/YAMS GARNET MEDIUM</t>
        </is>
      </c>
      <c r="E66" s="71" t="inlineStr"/>
      <c r="F66" s="70" t="inlineStr">
        <is>
          <t>kg</t>
        </is>
      </c>
      <c r="G66" s="61" t="n"/>
      <c r="H66" s="72" t="n">
        <v>150</v>
      </c>
      <c r="I66" s="73" t="inlineStr">
        <is>
          <t>KG</t>
        </is>
      </c>
      <c r="J66" s="74" t="n">
        <v>0.92</v>
      </c>
      <c r="K66" s="75" t="inlineStr">
        <is>
          <t>JPY</t>
        </is>
      </c>
      <c r="L66" s="76">
        <f>H66*J66</f>
        <v/>
      </c>
      <c r="M66" s="3" t="n"/>
      <c r="N66" s="3" t="n"/>
      <c r="O66" s="3" t="n"/>
      <c r="P66" s="3" t="n"/>
      <c r="Q66" s="3" t="n"/>
    </row>
    <row r="67">
      <c r="A67" s="67" t="n">
        <v>46</v>
      </c>
      <c r="B67" s="68" t="inlineStr">
        <is>
          <t>68358749</t>
        </is>
      </c>
      <c r="C67" s="69" t="inlineStr">
        <is>
          <t>99PRD011725</t>
        </is>
      </c>
      <c r="D67" s="70" t="inlineStr">
        <is>
          <t>PUMPKIN CALABAZA 6-8CT/50LB</t>
        </is>
      </c>
      <c r="E67" s="71" t="inlineStr"/>
      <c r="F67" s="70" t="inlineStr">
        <is>
          <t>kg</t>
        </is>
      </c>
      <c r="G67" s="61" t="n"/>
      <c r="H67" s="72" t="n">
        <v>50</v>
      </c>
      <c r="I67" s="73" t="inlineStr">
        <is>
          <t>KG</t>
        </is>
      </c>
      <c r="J67" s="74" t="n">
        <v>0.95</v>
      </c>
      <c r="K67" s="75" t="inlineStr">
        <is>
          <t>JPY</t>
        </is>
      </c>
      <c r="L67" s="76">
        <f>H67*J67</f>
        <v/>
      </c>
      <c r="M67" s="3" t="n"/>
      <c r="N67" s="3" t="n"/>
      <c r="O67" s="3" t="n"/>
      <c r="P67" s="3" t="n"/>
      <c r="Q67" s="3" t="n"/>
    </row>
    <row r="68">
      <c r="A68" s="67" t="n">
        <v>47</v>
      </c>
      <c r="B68" s="68" t="inlineStr">
        <is>
          <t>68358749</t>
        </is>
      </c>
      <c r="C68" s="69" t="inlineStr">
        <is>
          <t>99PRD011738</t>
        </is>
      </c>
      <c r="D68" s="70" t="inlineStr">
        <is>
          <t>RADISH DAIKON</t>
        </is>
      </c>
      <c r="E68" s="71" t="inlineStr"/>
      <c r="F68" s="70" t="inlineStr">
        <is>
          <t>kg</t>
        </is>
      </c>
      <c r="G68" s="61" t="n"/>
      <c r="H68" s="72" t="n">
        <v>10</v>
      </c>
      <c r="I68" s="73" t="inlineStr">
        <is>
          <t>KG</t>
        </is>
      </c>
      <c r="J68" s="74" t="n">
        <v>2.19</v>
      </c>
      <c r="K68" s="75" t="inlineStr">
        <is>
          <t>JPY</t>
        </is>
      </c>
      <c r="L68" s="76">
        <f>H68*J68</f>
        <v/>
      </c>
      <c r="M68" s="3" t="n"/>
      <c r="N68" s="3" t="n"/>
      <c r="O68" s="3" t="n"/>
      <c r="P68" s="3" t="n"/>
      <c r="Q68" s="3" t="n"/>
    </row>
    <row r="69">
      <c r="A69" s="67" t="n">
        <v>48</v>
      </c>
      <c r="B69" s="68" t="inlineStr">
        <is>
          <t>68358749</t>
        </is>
      </c>
      <c r="C69" s="69" t="inlineStr">
        <is>
          <t>99PRD012005</t>
        </is>
      </c>
      <c r="D69" s="70" t="inlineStr">
        <is>
          <t>SQUASH BUTTERNUT LARGE</t>
        </is>
      </c>
      <c r="E69" s="71" t="inlineStr"/>
      <c r="F69" s="70" t="inlineStr">
        <is>
          <t>kg</t>
        </is>
      </c>
      <c r="G69" s="61" t="n"/>
      <c r="H69" s="72" t="n">
        <v>250</v>
      </c>
      <c r="I69" s="73" t="inlineStr">
        <is>
          <t>KG</t>
        </is>
      </c>
      <c r="J69" s="74" t="n">
        <v>1.1</v>
      </c>
      <c r="K69" s="75" t="inlineStr">
        <is>
          <t>JPY</t>
        </is>
      </c>
      <c r="L69" s="76">
        <f>H69*J69</f>
        <v/>
      </c>
      <c r="M69" s="3" t="n"/>
      <c r="N69" s="3" t="n"/>
      <c r="O69" s="3" t="n"/>
      <c r="P69" s="3" t="n"/>
      <c r="Q69" s="3" t="n"/>
    </row>
    <row r="70">
      <c r="A70" s="67" t="n">
        <v>49</v>
      </c>
      <c r="B70" s="68" t="inlineStr">
        <is>
          <t>68358749</t>
        </is>
      </c>
      <c r="C70" s="69" t="inlineStr">
        <is>
          <t>99PRD012009</t>
        </is>
      </c>
      <c r="D70" s="70" t="inlineStr">
        <is>
          <t>SQUASH ZUCCHINI BABY</t>
        </is>
      </c>
      <c r="E70" s="71" t="inlineStr"/>
      <c r="F70" s="70" t="inlineStr">
        <is>
          <t>kg</t>
        </is>
      </c>
      <c r="G70" s="61" t="n"/>
      <c r="H70" s="72" t="n">
        <v>5</v>
      </c>
      <c r="I70" s="73" t="inlineStr">
        <is>
          <t>KG</t>
        </is>
      </c>
      <c r="J70" s="74" t="n">
        <v>16.22</v>
      </c>
      <c r="K70" s="75" t="inlineStr">
        <is>
          <t>JPY</t>
        </is>
      </c>
      <c r="L70" s="76">
        <f>H70*J70</f>
        <v/>
      </c>
      <c r="M70" s="3" t="n"/>
      <c r="N70" s="3" t="n"/>
      <c r="O70" s="3" t="n"/>
      <c r="P70" s="3" t="n"/>
      <c r="Q70" s="3" t="n"/>
    </row>
    <row r="71">
      <c r="A71" s="67" t="n">
        <v>50</v>
      </c>
      <c r="B71" s="68" t="inlineStr">
        <is>
          <t>68358749</t>
        </is>
      </c>
      <c r="C71" s="69" t="inlineStr">
        <is>
          <t>99PRD012010</t>
        </is>
      </c>
      <c r="D71" s="70" t="inlineStr">
        <is>
          <t>SQUASH ZUCCHINI GREEN MEDIUM #1</t>
        </is>
      </c>
      <c r="E71" s="71" t="inlineStr"/>
      <c r="F71" s="70" t="inlineStr">
        <is>
          <t>kg</t>
        </is>
      </c>
      <c r="G71" s="61" t="n"/>
      <c r="H71" s="72" t="n">
        <v>364</v>
      </c>
      <c r="I71" s="73" t="inlineStr">
        <is>
          <t>KG</t>
        </is>
      </c>
      <c r="J71" s="74" t="n">
        <v>1.19</v>
      </c>
      <c r="K71" s="75" t="inlineStr">
        <is>
          <t>JPY</t>
        </is>
      </c>
      <c r="L71" s="76">
        <f>H71*J71</f>
        <v/>
      </c>
      <c r="M71" s="3" t="n"/>
      <c r="N71" s="3" t="n"/>
      <c r="O71" s="3" t="n"/>
      <c r="P71" s="3" t="n"/>
      <c r="Q71" s="3" t="n"/>
    </row>
    <row r="72">
      <c r="A72" s="67" t="n">
        <v>51</v>
      </c>
      <c r="B72" s="68" t="inlineStr">
        <is>
          <t>68358749</t>
        </is>
      </c>
      <c r="C72" s="69" t="inlineStr">
        <is>
          <t>99PRD012136</t>
        </is>
      </c>
      <c r="D72" s="70" t="inlineStr">
        <is>
          <t>LETTUCE WATERCRESS 24CT</t>
        </is>
      </c>
      <c r="E72" s="71" t="inlineStr"/>
      <c r="F72" s="70" t="inlineStr">
        <is>
          <t>kg</t>
        </is>
      </c>
      <c r="G72" s="61" t="n"/>
      <c r="H72" s="72" t="n">
        <v>25</v>
      </c>
      <c r="I72" s="73" t="inlineStr">
        <is>
          <t>KG</t>
        </is>
      </c>
      <c r="J72" s="74" t="n">
        <v>11.69</v>
      </c>
      <c r="K72" s="75" t="inlineStr">
        <is>
          <t>JPY</t>
        </is>
      </c>
      <c r="L72" s="76">
        <f>H72*J72</f>
        <v/>
      </c>
      <c r="M72" s="3" t="n"/>
      <c r="N72" s="3" t="n"/>
      <c r="O72" s="3" t="n"/>
      <c r="P72" s="3" t="n"/>
      <c r="Q72" s="3" t="n"/>
    </row>
    <row r="73">
      <c r="A73" s="67" t="n">
        <v>52</v>
      </c>
      <c r="B73" s="68" t="inlineStr">
        <is>
          <t>68358749</t>
        </is>
      </c>
      <c r="C73" s="69" t="inlineStr">
        <is>
          <t>99PRD24612</t>
        </is>
      </c>
      <c r="D73" s="70" t="inlineStr">
        <is>
          <t>MUSHROOM ENOKI</t>
        </is>
      </c>
      <c r="E73" s="71" t="inlineStr"/>
      <c r="F73" s="70" t="inlineStr">
        <is>
          <t>kg</t>
        </is>
      </c>
      <c r="G73" s="61" t="n"/>
      <c r="H73" s="72" t="n">
        <v>5</v>
      </c>
      <c r="I73" s="73" t="inlineStr">
        <is>
          <t>KG</t>
        </is>
      </c>
      <c r="J73" s="74" t="n">
        <v>8.99</v>
      </c>
      <c r="K73" s="75" t="inlineStr">
        <is>
          <t>JPY</t>
        </is>
      </c>
      <c r="L73" s="76">
        <f>H73*J73</f>
        <v/>
      </c>
      <c r="M73" s="3" t="n"/>
      <c r="N73" s="3" t="n"/>
      <c r="O73" s="3" t="n"/>
      <c r="P73" s="3" t="n"/>
      <c r="Q73" s="3" t="n"/>
    </row>
    <row r="74">
      <c r="A74" s="67" t="n">
        <v>53</v>
      </c>
      <c r="B74" s="68" t="inlineStr">
        <is>
          <t>68358749</t>
        </is>
      </c>
      <c r="C74" s="69" t="inlineStr">
        <is>
          <t>99PRD24659</t>
        </is>
      </c>
      <c r="D74" s="70" t="inlineStr">
        <is>
          <t>PEAS SUGAR SNAP STRINGLESS</t>
        </is>
      </c>
      <c r="E74" s="71" t="inlineStr"/>
      <c r="F74" s="70" t="inlineStr">
        <is>
          <t>kg</t>
        </is>
      </c>
      <c r="G74" s="61" t="n"/>
      <c r="H74" s="72" t="n">
        <v>6</v>
      </c>
      <c r="I74" s="73" t="inlineStr">
        <is>
          <t>KG</t>
        </is>
      </c>
      <c r="J74" s="74" t="n">
        <v>16.99</v>
      </c>
      <c r="K74" s="75" t="inlineStr">
        <is>
          <t>JPY</t>
        </is>
      </c>
      <c r="L74" s="76">
        <f>H74*J74</f>
        <v/>
      </c>
      <c r="M74" s="3" t="n"/>
      <c r="N74" s="3" t="n"/>
      <c r="O74" s="3" t="n"/>
      <c r="P74" s="3" t="n"/>
      <c r="Q74" s="3" t="n"/>
    </row>
    <row r="75">
      <c r="A75" s="67" t="n">
        <v>54</v>
      </c>
      <c r="B75" s="68" t="inlineStr">
        <is>
          <t>68358749</t>
        </is>
      </c>
      <c r="C75" s="69" t="inlineStr">
        <is>
          <t>99PRD24660</t>
        </is>
      </c>
      <c r="D75" s="70" t="inlineStr">
        <is>
          <t>SWISS CHARD</t>
        </is>
      </c>
      <c r="E75" s="71" t="inlineStr"/>
      <c r="F75" s="70" t="inlineStr">
        <is>
          <t>kg</t>
        </is>
      </c>
      <c r="G75" s="61" t="n"/>
      <c r="H75" s="72" t="n">
        <v>20</v>
      </c>
      <c r="I75" s="73" t="inlineStr">
        <is>
          <t>KG</t>
        </is>
      </c>
      <c r="J75" s="74" t="n">
        <v>5.39</v>
      </c>
      <c r="K75" s="75" t="inlineStr">
        <is>
          <t>JPY</t>
        </is>
      </c>
      <c r="L75" s="76">
        <f>H75*J75</f>
        <v/>
      </c>
      <c r="M75" s="3" t="n"/>
      <c r="N75" s="3" t="n"/>
      <c r="O75" s="3" t="n"/>
      <c r="P75" s="3" t="n"/>
      <c r="Q75" s="3" t="n"/>
    </row>
    <row r="76">
      <c r="A76" s="67" t="n">
        <v>55</v>
      </c>
      <c r="B76" s="68" t="inlineStr">
        <is>
          <t>68358749</t>
        </is>
      </c>
      <c r="C76" s="69" t="inlineStr">
        <is>
          <t>99PRD24664</t>
        </is>
      </c>
      <c r="D76" s="70" t="inlineStr">
        <is>
          <t>EGGPLANT JAPANESE</t>
        </is>
      </c>
      <c r="E76" s="71" t="inlineStr"/>
      <c r="F76" s="70" t="inlineStr">
        <is>
          <t>kg</t>
        </is>
      </c>
      <c r="G76" s="61" t="n"/>
      <c r="H76" s="72" t="n">
        <v>30</v>
      </c>
      <c r="I76" s="73" t="inlineStr">
        <is>
          <t>KG</t>
        </is>
      </c>
      <c r="J76" s="74" t="n">
        <v>4.82</v>
      </c>
      <c r="K76" s="75" t="inlineStr">
        <is>
          <t>JPY</t>
        </is>
      </c>
      <c r="L76" s="76">
        <f>H76*J76</f>
        <v/>
      </c>
      <c r="M76" s="3" t="n"/>
      <c r="N76" s="3" t="n"/>
      <c r="O76" s="3" t="n"/>
      <c r="P76" s="3" t="n"/>
      <c r="Q76" s="3" t="n"/>
    </row>
    <row r="77">
      <c r="A77" s="67" t="n">
        <v>56</v>
      </c>
      <c r="B77" s="68" t="inlineStr">
        <is>
          <t>68358749</t>
        </is>
      </c>
      <c r="C77" s="69" t="inlineStr">
        <is>
          <t>99PRD30483</t>
        </is>
      </c>
      <c r="D77" s="70" t="inlineStr">
        <is>
          <t>MUSHROOM HAN SHIMEJI WHITE</t>
        </is>
      </c>
      <c r="E77" s="71" t="inlineStr"/>
      <c r="F77" s="70" t="inlineStr">
        <is>
          <t>kg</t>
        </is>
      </c>
      <c r="G77" s="61" t="n"/>
      <c r="H77" s="72" t="n">
        <v>5</v>
      </c>
      <c r="I77" s="73" t="inlineStr">
        <is>
          <t>KG</t>
        </is>
      </c>
      <c r="J77" s="74" t="n">
        <v>17.88</v>
      </c>
      <c r="K77" s="75" t="inlineStr">
        <is>
          <t>JPY</t>
        </is>
      </c>
      <c r="L77" s="76">
        <f>H77*J77</f>
        <v/>
      </c>
      <c r="M77" s="3" t="n"/>
      <c r="N77" s="3" t="n"/>
      <c r="O77" s="3" t="n"/>
      <c r="P77" s="3" t="n"/>
      <c r="Q77" s="3" t="n"/>
    </row>
    <row r="78">
      <c r="A78" s="67" t="n">
        <v>57</v>
      </c>
      <c r="B78" s="68" t="inlineStr">
        <is>
          <t>68358749</t>
        </is>
      </c>
      <c r="C78" s="69" t="inlineStr">
        <is>
          <t>99PRD30484</t>
        </is>
      </c>
      <c r="D78" s="70" t="inlineStr">
        <is>
          <t>BEETROOT BABY RED 24BU CA</t>
        </is>
      </c>
      <c r="E78" s="71" t="inlineStr"/>
      <c r="F78" s="70" t="inlineStr">
        <is>
          <t>kg</t>
        </is>
      </c>
      <c r="G78" s="61" t="n"/>
      <c r="H78" s="72" t="n">
        <v>28</v>
      </c>
      <c r="I78" s="73" t="inlineStr">
        <is>
          <t>KG</t>
        </is>
      </c>
      <c r="J78" s="74" t="n">
        <v>10</v>
      </c>
      <c r="K78" s="75" t="inlineStr">
        <is>
          <t>JPY</t>
        </is>
      </c>
      <c r="L78" s="76">
        <f>H78*J78</f>
        <v/>
      </c>
      <c r="M78" s="3" t="n"/>
      <c r="N78" s="3" t="n"/>
      <c r="O78" s="3" t="n"/>
      <c r="P78" s="3" t="n"/>
      <c r="Q78" s="3" t="n"/>
    </row>
    <row r="79">
      <c r="A79" s="67" t="n">
        <v>58</v>
      </c>
      <c r="B79" s="68" t="inlineStr">
        <is>
          <t>68358749</t>
        </is>
      </c>
      <c r="C79" s="69" t="inlineStr">
        <is>
          <t>99PRD30485</t>
        </is>
      </c>
      <c r="D79" s="70" t="inlineStr">
        <is>
          <t>BEET BABY YELLOW 24BU CA</t>
        </is>
      </c>
      <c r="E79" s="71" t="inlineStr"/>
      <c r="F79" s="70" t="inlineStr">
        <is>
          <t>kg</t>
        </is>
      </c>
      <c r="G79" s="61" t="n"/>
      <c r="H79" s="72" t="n">
        <v>10</v>
      </c>
      <c r="I79" s="73" t="inlineStr">
        <is>
          <t>KG</t>
        </is>
      </c>
      <c r="J79" s="74" t="n">
        <v>10</v>
      </c>
      <c r="K79" s="75" t="inlineStr">
        <is>
          <t>JPY</t>
        </is>
      </c>
      <c r="L79" s="76">
        <f>H79*J79</f>
        <v/>
      </c>
      <c r="M79" s="3" t="n"/>
      <c r="N79" s="3" t="n"/>
      <c r="O79" s="3" t="n"/>
      <c r="P79" s="3" t="n"/>
      <c r="Q79" s="3" t="n"/>
    </row>
    <row r="80">
      <c r="A80" s="67" t="n">
        <v>59</v>
      </c>
      <c r="B80" s="68" t="inlineStr">
        <is>
          <t>68358749</t>
        </is>
      </c>
      <c r="C80" s="69" t="inlineStr">
        <is>
          <t>99PRD32051</t>
        </is>
      </c>
      <c r="D80" s="70" t="inlineStr">
        <is>
          <t>POTATO GOLD YUKON</t>
        </is>
      </c>
      <c r="E80" s="71" t="inlineStr"/>
      <c r="F80" s="70" t="inlineStr">
        <is>
          <t>kg</t>
        </is>
      </c>
      <c r="G80" s="61" t="n"/>
      <c r="H80" s="72" t="n">
        <v>32</v>
      </c>
      <c r="I80" s="73" t="inlineStr">
        <is>
          <t>KG</t>
        </is>
      </c>
      <c r="J80" s="74" t="n">
        <v>1.9</v>
      </c>
      <c r="K80" s="75" t="inlineStr">
        <is>
          <t>JPY</t>
        </is>
      </c>
      <c r="L80" s="76">
        <f>H80*J80</f>
        <v/>
      </c>
      <c r="M80" s="3" t="n"/>
      <c r="N80" s="3" t="n"/>
      <c r="O80" s="3" t="n"/>
      <c r="P80" s="3" t="n"/>
      <c r="Q80" s="3" t="n"/>
    </row>
    <row r="81">
      <c r="A81" s="67" t="n">
        <v>60</v>
      </c>
      <c r="B81" s="68" t="inlineStr">
        <is>
          <t>68358749</t>
        </is>
      </c>
      <c r="C81" s="69" t="inlineStr">
        <is>
          <t>99PRD38600</t>
        </is>
      </c>
      <c r="D81" s="70" t="inlineStr">
        <is>
          <t>TOMATO HEIRLOOM STAGE 4</t>
        </is>
      </c>
      <c r="E81" s="71" t="inlineStr"/>
      <c r="F81" s="70" t="inlineStr">
        <is>
          <t>kg</t>
        </is>
      </c>
      <c r="G81" s="61" t="n"/>
      <c r="H81" s="72" t="n">
        <v>30</v>
      </c>
      <c r="I81" s="73" t="inlineStr">
        <is>
          <t>KG</t>
        </is>
      </c>
      <c r="J81" s="74" t="n">
        <v>8.69</v>
      </c>
      <c r="K81" s="75" t="inlineStr">
        <is>
          <t>JPY</t>
        </is>
      </c>
      <c r="L81" s="76">
        <f>H81*J81</f>
        <v/>
      </c>
      <c r="M81" s="3" t="n"/>
      <c r="N81" s="3" t="n"/>
      <c r="O81" s="3" t="n"/>
      <c r="P81" s="3" t="n"/>
      <c r="Q81" s="3" t="n"/>
    </row>
    <row r="82">
      <c r="A82" s="67" t="n">
        <v>61</v>
      </c>
      <c r="B82" s="68" t="inlineStr">
        <is>
          <t>68358749</t>
        </is>
      </c>
      <c r="C82" s="69" t="inlineStr">
        <is>
          <t>99PRD41876</t>
        </is>
      </c>
      <c r="D82" s="70" t="inlineStr">
        <is>
          <t>MUSHROOM TRUMPET ROYALE</t>
        </is>
      </c>
      <c r="E82" s="71" t="inlineStr"/>
      <c r="F82" s="70" t="inlineStr">
        <is>
          <t>kg</t>
        </is>
      </c>
      <c r="G82" s="61" t="n"/>
      <c r="H82" s="72" t="n">
        <v>5</v>
      </c>
      <c r="I82" s="73" t="inlineStr">
        <is>
          <t>KG</t>
        </is>
      </c>
      <c r="J82" s="74" t="n">
        <v>8.99</v>
      </c>
      <c r="K82" s="75" t="inlineStr">
        <is>
          <t>JPY</t>
        </is>
      </c>
      <c r="L82" s="76">
        <f>H82*J82</f>
        <v/>
      </c>
      <c r="M82" s="3" t="n"/>
      <c r="N82" s="3" t="n"/>
      <c r="O82" s="3" t="n"/>
      <c r="P82" s="3" t="n"/>
      <c r="Q82" s="3" t="n"/>
    </row>
    <row r="83">
      <c r="A83" s="67" t="n">
        <v>62</v>
      </c>
      <c r="B83" s="68" t="inlineStr">
        <is>
          <t>68358749</t>
        </is>
      </c>
      <c r="C83" s="69" t="inlineStr">
        <is>
          <t>99PRD44426</t>
        </is>
      </c>
      <c r="D83" s="70" t="inlineStr">
        <is>
          <t>MUSHROOM MAITAKE HEN OF THE WOODS</t>
        </is>
      </c>
      <c r="E83" s="71" t="inlineStr"/>
      <c r="F83" s="70" t="inlineStr">
        <is>
          <t>kg</t>
        </is>
      </c>
      <c r="G83" s="61" t="n"/>
      <c r="H83" s="72" t="n">
        <v>4</v>
      </c>
      <c r="I83" s="73" t="inlineStr">
        <is>
          <t>KG</t>
        </is>
      </c>
      <c r="J83" s="74" t="n">
        <v>65</v>
      </c>
      <c r="K83" s="75" t="inlineStr">
        <is>
          <t>JPY</t>
        </is>
      </c>
      <c r="L83" s="76">
        <f>H83*J83</f>
        <v/>
      </c>
      <c r="M83" s="3" t="n"/>
      <c r="N83" s="3" t="n"/>
      <c r="O83" s="3" t="n"/>
      <c r="P83" s="3" t="n"/>
      <c r="Q83" s="3" t="n"/>
    </row>
    <row r="84">
      <c r="A84" s="67" t="n">
        <v>63</v>
      </c>
      <c r="B84" s="68" t="inlineStr">
        <is>
          <t>68358749</t>
        </is>
      </c>
      <c r="C84" s="69" t="inlineStr">
        <is>
          <t>99PRD45116</t>
        </is>
      </c>
      <c r="D84" s="70" t="inlineStr">
        <is>
          <t>HERB CILANTRO MICRO</t>
        </is>
      </c>
      <c r="E84" s="71" t="inlineStr"/>
      <c r="F84" s="70" t="inlineStr">
        <is>
          <t>kg</t>
        </is>
      </c>
      <c r="G84" s="61" t="n"/>
      <c r="H84" s="72" t="n">
        <v>2</v>
      </c>
      <c r="I84" s="73" t="inlineStr">
        <is>
          <t>KG</t>
        </is>
      </c>
      <c r="J84" s="74" t="n">
        <v>11.99</v>
      </c>
      <c r="K84" s="75" t="inlineStr">
        <is>
          <t>JPY</t>
        </is>
      </c>
      <c r="L84" s="76">
        <f>H84*J84</f>
        <v/>
      </c>
      <c r="M84" s="3" t="n"/>
      <c r="N84" s="3" t="n"/>
      <c r="O84" s="3" t="n"/>
      <c r="P84" s="3" t="n"/>
      <c r="Q84" s="3" t="n"/>
    </row>
    <row r="85">
      <c r="A85" s="67" t="n">
        <v>64</v>
      </c>
      <c r="B85" s="68" t="inlineStr">
        <is>
          <t>68358749</t>
        </is>
      </c>
      <c r="C85" s="69" t="inlineStr">
        <is>
          <t>99PRD45806</t>
        </is>
      </c>
      <c r="D85" s="70" t="inlineStr">
        <is>
          <t>CARROT BABY MULTI-COLORED WITH TOP</t>
        </is>
      </c>
      <c r="E85" s="71" t="inlineStr"/>
      <c r="F85" s="70" t="inlineStr">
        <is>
          <t>kg</t>
        </is>
      </c>
      <c r="G85" s="61" t="n"/>
      <c r="H85" s="72" t="n">
        <v>20</v>
      </c>
      <c r="I85" s="73" t="inlineStr">
        <is>
          <t>KG</t>
        </is>
      </c>
      <c r="J85" s="74" t="n">
        <v>11.99</v>
      </c>
      <c r="K85" s="75" t="inlineStr">
        <is>
          <t>JPY</t>
        </is>
      </c>
      <c r="L85" s="76">
        <f>H85*J85</f>
        <v/>
      </c>
      <c r="M85" s="3" t="n"/>
      <c r="N85" s="3" t="n"/>
      <c r="O85" s="3" t="n"/>
      <c r="P85" s="3" t="n"/>
      <c r="Q85" s="3" t="n"/>
    </row>
    <row r="86">
      <c r="A86" s="67" t="n">
        <v>65</v>
      </c>
      <c r="B86" s="68" t="inlineStr">
        <is>
          <t>68358749</t>
        </is>
      </c>
      <c r="C86" s="69" t="inlineStr">
        <is>
          <t>99PRD46501</t>
        </is>
      </c>
      <c r="D86" s="70" t="inlineStr">
        <is>
          <t>MELON WATERMELON SEEDLESS RED 65LB</t>
        </is>
      </c>
      <c r="E86" s="71" t="inlineStr"/>
      <c r="F86" s="70" t="inlineStr">
        <is>
          <t>kg</t>
        </is>
      </c>
      <c r="G86" s="61" t="n"/>
      <c r="H86" s="72" t="n">
        <v>2728</v>
      </c>
      <c r="I86" s="73" t="inlineStr">
        <is>
          <t>KG</t>
        </is>
      </c>
      <c r="J86" s="74" t="n">
        <v>1.1</v>
      </c>
      <c r="K86" s="75" t="inlineStr">
        <is>
          <t>JPY</t>
        </is>
      </c>
      <c r="L86" s="76">
        <f>H86*J86</f>
        <v/>
      </c>
      <c r="M86" s="3" t="n"/>
      <c r="N86" s="3" t="n"/>
      <c r="O86" s="3" t="n"/>
      <c r="P86" s="3" t="n"/>
      <c r="Q86" s="3" t="n"/>
    </row>
    <row r="87">
      <c r="A87" s="67" t="n">
        <v>66</v>
      </c>
      <c r="B87" s="68" t="inlineStr">
        <is>
          <t>68358749</t>
        </is>
      </c>
      <c r="C87" s="69" t="inlineStr">
        <is>
          <t>99PRD47088</t>
        </is>
      </c>
      <c r="D87" s="70" t="inlineStr">
        <is>
          <t>PINEAPPLE CROWNLESS 12CT/40LB</t>
        </is>
      </c>
      <c r="E87" s="71" t="inlineStr"/>
      <c r="F87" s="70" t="inlineStr">
        <is>
          <t>kg</t>
        </is>
      </c>
      <c r="G87" s="61" t="n"/>
      <c r="H87" s="72" t="n">
        <v>1637</v>
      </c>
      <c r="I87" s="73" t="inlineStr">
        <is>
          <t>KG</t>
        </is>
      </c>
      <c r="J87" s="74" t="n">
        <v>2.35</v>
      </c>
      <c r="K87" s="75" t="inlineStr">
        <is>
          <t>JPY</t>
        </is>
      </c>
      <c r="L87" s="76">
        <f>H87*J87</f>
        <v/>
      </c>
      <c r="M87" s="3" t="n"/>
      <c r="N87" s="3" t="n"/>
      <c r="O87" s="3" t="n"/>
      <c r="P87" s="3" t="n"/>
      <c r="Q87" s="3" t="n"/>
    </row>
    <row r="88">
      <c r="A88" s="67" t="n">
        <v>67</v>
      </c>
      <c r="B88" s="68" t="inlineStr">
        <is>
          <t>68358749</t>
        </is>
      </c>
      <c r="C88" s="69" t="inlineStr">
        <is>
          <t>99PRD47641</t>
        </is>
      </c>
      <c r="D88" s="70" t="inlineStr">
        <is>
          <t>BEET GOLD LARGE 25LB</t>
        </is>
      </c>
      <c r="E88" s="71" t="inlineStr"/>
      <c r="F88" s="70" t="inlineStr">
        <is>
          <t>kg</t>
        </is>
      </c>
      <c r="G88" s="61" t="n"/>
      <c r="H88" s="72" t="n">
        <v>20</v>
      </c>
      <c r="I88" s="73" t="inlineStr">
        <is>
          <t>KG</t>
        </is>
      </c>
      <c r="J88" s="74" t="n">
        <v>6</v>
      </c>
      <c r="K88" s="75" t="inlineStr">
        <is>
          <t>JPY</t>
        </is>
      </c>
      <c r="L88" s="76">
        <f>H88*J88</f>
        <v/>
      </c>
      <c r="M88" s="3" t="n"/>
      <c r="N88" s="3" t="n"/>
      <c r="O88" s="3" t="n"/>
      <c r="P88" s="3" t="n"/>
      <c r="Q88" s="3" t="n"/>
    </row>
    <row r="89">
      <c r="A89" s="67" t="n">
        <v>68</v>
      </c>
      <c r="B89" s="68" t="inlineStr">
        <is>
          <t>68358749</t>
        </is>
      </c>
      <c r="C89" s="69" t="inlineStr">
        <is>
          <t>99PRD62406</t>
        </is>
      </c>
      <c r="D89" s="70" t="inlineStr">
        <is>
          <t>SWISS CHARD RAINBOW</t>
        </is>
      </c>
      <c r="E89" s="71" t="inlineStr"/>
      <c r="F89" s="70" t="inlineStr">
        <is>
          <t>kg</t>
        </is>
      </c>
      <c r="G89" s="61" t="n"/>
      <c r="H89" s="72" t="n">
        <v>4</v>
      </c>
      <c r="I89" s="73" t="inlineStr">
        <is>
          <t>KG</t>
        </is>
      </c>
      <c r="J89" s="74" t="n">
        <v>5.39</v>
      </c>
      <c r="K89" s="75" t="inlineStr">
        <is>
          <t>JPY</t>
        </is>
      </c>
      <c r="L89" s="76">
        <f>H89*J89</f>
        <v/>
      </c>
      <c r="M89" s="3" t="n"/>
      <c r="N89" s="3" t="n"/>
      <c r="O89" s="3" t="n"/>
      <c r="P89" s="3" t="n"/>
      <c r="Q89" s="3" t="n"/>
    </row>
    <row r="90">
      <c r="A90" s="67" t="n">
        <v>69</v>
      </c>
      <c r="B90" s="68" t="inlineStr">
        <is>
          <t>68358749</t>
        </is>
      </c>
      <c r="C90" s="69" t="inlineStr">
        <is>
          <t>99PRD64715</t>
        </is>
      </c>
      <c r="D90" s="70" t="inlineStr">
        <is>
          <t>MICRO SEA BEANS</t>
        </is>
      </c>
      <c r="E90" s="71" t="inlineStr"/>
      <c r="F90" s="70" t="inlineStr">
        <is>
          <t>kg</t>
        </is>
      </c>
      <c r="G90" s="61" t="n"/>
      <c r="H90" s="72" t="n">
        <v>2</v>
      </c>
      <c r="I90" s="73" t="inlineStr">
        <is>
          <t>KG</t>
        </is>
      </c>
      <c r="J90" s="74" t="n">
        <v>60</v>
      </c>
      <c r="K90" s="75" t="inlineStr">
        <is>
          <t>JPY</t>
        </is>
      </c>
      <c r="L90" s="76">
        <f>H90*J90</f>
        <v/>
      </c>
      <c r="M90" s="3" t="n"/>
      <c r="N90" s="3" t="n"/>
      <c r="O90" s="3" t="n"/>
      <c r="P90" s="3" t="n"/>
      <c r="Q90" s="3" t="n"/>
    </row>
    <row r="91">
      <c r="A91" s="67" t="n">
        <v>70</v>
      </c>
      <c r="B91" s="68" t="inlineStr">
        <is>
          <t>68358749</t>
        </is>
      </c>
      <c r="C91" s="69" t="inlineStr">
        <is>
          <t>99PRD64821</t>
        </is>
      </c>
      <c r="D91" s="70" t="inlineStr">
        <is>
          <t>TOMATO CHERRY ON VINE RED</t>
        </is>
      </c>
      <c r="E91" s="71" t="inlineStr"/>
      <c r="F91" s="70" t="inlineStr">
        <is>
          <t>kg</t>
        </is>
      </c>
      <c r="G91" s="61" t="n"/>
      <c r="H91" s="72" t="n">
        <v>10</v>
      </c>
      <c r="I91" s="73" t="inlineStr">
        <is>
          <t>KG</t>
        </is>
      </c>
      <c r="J91" s="74" t="n">
        <v>7.12</v>
      </c>
      <c r="K91" s="75" t="inlineStr">
        <is>
          <t>JPY</t>
        </is>
      </c>
      <c r="L91" s="76">
        <f>H91*J91</f>
        <v/>
      </c>
      <c r="M91" s="3" t="n"/>
      <c r="N91" s="3" t="n"/>
      <c r="O91" s="3" t="n"/>
      <c r="P91" s="3" t="n"/>
      <c r="Q91" s="3" t="n"/>
    </row>
    <row r="92">
      <c r="A92" s="67" t="n">
        <v>71</v>
      </c>
      <c r="B92" s="68" t="inlineStr">
        <is>
          <t>68358749</t>
        </is>
      </c>
      <c r="C92" s="69" t="inlineStr">
        <is>
          <t>99PRD65125</t>
        </is>
      </c>
      <c r="D92" s="70" t="inlineStr">
        <is>
          <t>EGGPLANT THAI</t>
        </is>
      </c>
      <c r="E92" s="71" t="inlineStr"/>
      <c r="F92" s="70" t="inlineStr">
        <is>
          <t>kg</t>
        </is>
      </c>
      <c r="G92" s="61" t="n"/>
      <c r="H92" s="72" t="n">
        <v>4</v>
      </c>
      <c r="I92" s="73" t="inlineStr">
        <is>
          <t>KG</t>
        </is>
      </c>
      <c r="J92" s="74" t="n">
        <v>6.99</v>
      </c>
      <c r="K92" s="75" t="inlineStr">
        <is>
          <t>JPY</t>
        </is>
      </c>
      <c r="L92" s="76">
        <f>H92*J92</f>
        <v/>
      </c>
      <c r="M92" s="3" t="n"/>
      <c r="N92" s="3" t="n"/>
      <c r="O92" s="3" t="n"/>
      <c r="P92" s="3" t="n"/>
      <c r="Q92" s="3" t="n"/>
    </row>
    <row r="93">
      <c r="A93" s="78" t="n"/>
      <c r="B93" s="79" t="n"/>
      <c r="C93" s="80" t="n"/>
      <c r="D93" s="81" t="n"/>
      <c r="E93" s="79" t="n"/>
      <c r="F93" s="79" t="n"/>
      <c r="H93" s="78" t="n"/>
      <c r="I93" s="82" t="inlineStr">
        <is>
          <t>Sub Total</t>
        </is>
      </c>
      <c r="J93" s="83" t="n"/>
      <c r="K93" s="84" t="inlineStr">
        <is>
          <t>JPY</t>
        </is>
      </c>
      <c r="L93" s="85">
        <f>SUM(L22:L92)</f>
        <v/>
      </c>
      <c r="M93" s="3" t="n"/>
      <c r="N93" s="3" t="n"/>
      <c r="O93" s="3" t="n"/>
      <c r="P93" s="3" t="n"/>
      <c r="Q93" s="3" t="n"/>
    </row>
    <row r="94">
      <c r="A94" s="78" t="n"/>
      <c r="B94" s="86" t="n"/>
      <c r="C94" s="86" t="n"/>
      <c r="D94" s="86" t="n"/>
      <c r="E94" s="86" t="n"/>
      <c r="F94" s="86" t="n"/>
      <c r="H94" s="78" t="n"/>
      <c r="I94" s="87" t="inlineStr">
        <is>
          <t>Tax</t>
        </is>
      </c>
      <c r="J94" s="61" t="n"/>
      <c r="K94" s="75" t="inlineStr">
        <is>
          <t>JPY</t>
        </is>
      </c>
      <c r="L94" s="76">
        <f>L93*0.08</f>
        <v/>
      </c>
      <c r="M94" s="3" t="n"/>
      <c r="N94" s="3" t="n"/>
      <c r="O94" s="3" t="n"/>
      <c r="P94" s="3" t="n"/>
      <c r="Q94" s="3" t="n"/>
    </row>
    <row r="95">
      <c r="A95" s="88" t="n"/>
      <c r="B95" s="86" t="n"/>
      <c r="C95" s="86" t="n"/>
      <c r="D95" s="86" t="n"/>
      <c r="E95" s="86" t="n"/>
      <c r="F95" s="86" t="n"/>
      <c r="H95" s="88" t="n"/>
      <c r="I95" s="89" t="inlineStr">
        <is>
          <t>GRAND TOTAL</t>
        </is>
      </c>
      <c r="J95" s="61" t="n"/>
      <c r="K95" s="75" t="inlineStr">
        <is>
          <t>JPY</t>
        </is>
      </c>
      <c r="L95" s="76">
        <f>+L93+L94</f>
        <v/>
      </c>
      <c r="M95" s="3" t="n"/>
      <c r="N95" s="3" t="n"/>
      <c r="O95" s="3" t="n"/>
      <c r="P95" s="3" t="n"/>
      <c r="Q95" s="3" t="n"/>
    </row>
    <row r="96">
      <c r="A96" s="88" t="n"/>
      <c r="B96" s="86" t="n"/>
      <c r="C96" s="86" t="n"/>
      <c r="D96" s="86" t="n"/>
      <c r="E96" s="86" t="n"/>
      <c r="F96" s="86" t="n"/>
      <c r="H96" s="88" t="n"/>
      <c r="I96" s="90" t="n"/>
      <c r="J96" s="91" t="n"/>
      <c r="K96" s="92" t="n"/>
      <c r="L96" s="93" t="n"/>
      <c r="M96" s="3" t="n"/>
      <c r="N96" s="3" t="n"/>
      <c r="O96" s="3" t="n"/>
      <c r="P96" s="3" t="n"/>
      <c r="Q96" s="3" t="n"/>
    </row>
    <row r="97">
      <c r="A97" s="94" t="inlineStr">
        <is>
          <t>THANK YOU FOR YOUR BUSINESS!</t>
        </is>
      </c>
      <c r="M97" s="3" t="n"/>
      <c r="N97" s="3" t="n"/>
      <c r="O97" s="3" t="n"/>
      <c r="P97" s="3" t="n"/>
      <c r="Q97" s="3" t="n"/>
    </row>
    <row r="98">
      <c r="A98" s="88" t="n"/>
      <c r="B98" s="95" t="n"/>
      <c r="C98" s="96" t="n"/>
      <c r="D98" s="11" t="n"/>
      <c r="E98" s="11" t="n"/>
      <c r="F98" s="11" t="n"/>
      <c r="H98" s="12" t="n"/>
      <c r="I98" s="11" t="n"/>
      <c r="J98" s="12" t="n"/>
      <c r="K98" s="11" t="n"/>
      <c r="L98" s="12" t="n"/>
      <c r="M98" s="3" t="n"/>
      <c r="N98" s="3" t="n"/>
      <c r="O98" s="3" t="n"/>
      <c r="P98" s="3" t="n"/>
      <c r="Q98" s="3" t="n"/>
    </row>
    <row r="99">
      <c r="A99" s="88" t="n"/>
      <c r="B99" s="95" t="n"/>
      <c r="C99" s="96" t="n"/>
      <c r="D99" s="11" t="n"/>
      <c r="E99" s="11" t="n"/>
      <c r="F99" s="11" t="n"/>
      <c r="H99" s="12" t="n"/>
      <c r="I99" s="11" t="n"/>
      <c r="J99" s="12" t="n"/>
      <c r="K99" s="11" t="n"/>
      <c r="L99" s="12" t="n"/>
      <c r="M99" s="3" t="n"/>
      <c r="N99" s="3" t="n"/>
      <c r="O99" s="3" t="n"/>
      <c r="P99" s="3" t="n"/>
      <c r="Q99" s="3" t="n"/>
    </row>
    <row r="100">
      <c r="A100" s="88" t="n"/>
      <c r="B100" s="95" t="n"/>
      <c r="C100" s="96" t="n"/>
      <c r="D100" s="11" t="n"/>
      <c r="E100" s="97" t="n"/>
      <c r="F100" s="97" t="n"/>
      <c r="H100" s="91" t="n"/>
      <c r="I100" s="90" t="n"/>
      <c r="J100" s="91" t="n"/>
      <c r="K100" s="98" t="n"/>
      <c r="L100" s="91" t="n"/>
      <c r="M100" s="3" t="n"/>
      <c r="N100" s="3" t="n"/>
      <c r="O100" s="3" t="n"/>
      <c r="P100" s="3" t="n"/>
      <c r="Q100" s="3" t="n"/>
    </row>
    <row r="101">
      <c r="A101" s="88" t="n"/>
      <c r="B101" s="95" t="n"/>
      <c r="C101" s="96" t="n"/>
      <c r="D101" s="11" t="n"/>
      <c r="E101" s="11" t="n"/>
      <c r="F101" s="11" t="n"/>
      <c r="H101" s="12" t="n"/>
      <c r="I101" s="11" t="n"/>
      <c r="J101" s="12" t="n"/>
      <c r="K101" s="11" t="n"/>
      <c r="L101" s="12" t="n"/>
      <c r="M101" s="3" t="n"/>
      <c r="N101" s="3" t="n"/>
      <c r="O101" s="3" t="n"/>
      <c r="P101" s="3" t="n"/>
      <c r="Q101" s="99" t="n"/>
    </row>
    <row r="102">
      <c r="A102" s="88" t="n"/>
      <c r="B102" s="95" t="n"/>
      <c r="C102" s="96" t="n"/>
      <c r="D102" s="11" t="n"/>
      <c r="E102" s="11" t="n"/>
      <c r="F102" s="11" t="n"/>
      <c r="H102" s="12" t="n"/>
      <c r="I102" s="11" t="n"/>
      <c r="J102" s="12" t="n"/>
      <c r="K102" s="11" t="n"/>
      <c r="L102" s="12" t="n"/>
      <c r="M102" s="3" t="n"/>
      <c r="N102" s="3" t="n"/>
      <c r="O102" s="3" t="n"/>
      <c r="P102" s="3" t="n"/>
      <c r="Q102" s="3" t="n"/>
    </row>
    <row r="103">
      <c r="A103" s="100" t="n"/>
      <c r="B103" s="101" t="n"/>
      <c r="C103" s="101" t="n"/>
      <c r="D103" s="101" t="n"/>
      <c r="E103" s="101" t="n"/>
      <c r="F103" s="101" t="n"/>
      <c r="G103" s="101" t="n"/>
      <c r="H103" s="102" t="n"/>
      <c r="I103" s="103" t="n"/>
      <c r="J103" s="100" t="n"/>
      <c r="K103" s="101" t="n"/>
      <c r="L103" s="100" t="n"/>
      <c r="M103" s="3" t="n"/>
      <c r="N103" s="3" t="n"/>
      <c r="O103" s="3" t="n"/>
      <c r="P103" s="3" t="n"/>
      <c r="Q103" s="3" t="n"/>
    </row>
    <row r="104">
      <c r="A104" s="104" t="n"/>
      <c r="B104" s="3" t="n"/>
      <c r="C104" s="3" t="n"/>
      <c r="D104" s="3" t="n"/>
      <c r="E104" s="3" t="n"/>
      <c r="F104" s="3" t="n"/>
      <c r="G104" s="3" t="n"/>
      <c r="H104" s="104" t="n"/>
      <c r="I104" s="3" t="n"/>
      <c r="J104" s="105" t="n"/>
      <c r="K104" s="106" t="n"/>
      <c r="L104" s="104" t="n"/>
      <c r="M104" s="3" t="n"/>
      <c r="N104" s="3" t="n"/>
      <c r="O104" s="3" t="n"/>
      <c r="P104" s="3" t="n"/>
      <c r="Q104" s="3" t="n"/>
    </row>
    <row r="105">
      <c r="A105" s="104" t="n"/>
      <c r="B105" s="3" t="n"/>
      <c r="C105" s="107" t="n"/>
      <c r="D105" s="107" t="n"/>
      <c r="E105" s="3" t="n"/>
      <c r="F105" s="3" t="n"/>
      <c r="G105" s="3" t="n"/>
      <c r="H105" s="104" t="n"/>
      <c r="I105" s="3" t="n"/>
      <c r="J105" s="105" t="n"/>
      <c r="K105" s="106" t="n"/>
      <c r="L105" s="104" t="n"/>
      <c r="M105" s="3" t="n"/>
      <c r="N105" s="3" t="n"/>
      <c r="O105" s="3" t="n"/>
      <c r="P105" s="3" t="n"/>
      <c r="Q105" s="3" t="n"/>
    </row>
    <row r="106">
      <c r="A106" s="104" t="n"/>
      <c r="B106" s="3" t="n"/>
      <c r="C106" s="107" t="n"/>
      <c r="D106" s="107" t="n"/>
      <c r="E106" s="3" t="n"/>
      <c r="F106" s="3" t="n"/>
      <c r="G106" s="3" t="n"/>
      <c r="H106" s="104" t="n"/>
      <c r="I106" s="3" t="n"/>
      <c r="J106" s="108" t="n"/>
      <c r="K106" s="109" t="n"/>
      <c r="L106" s="110" t="n"/>
      <c r="M106" s="3" t="n"/>
      <c r="N106" s="3" t="n"/>
      <c r="O106" s="3" t="n"/>
      <c r="P106" s="3" t="n"/>
      <c r="Q106" s="3" t="n"/>
    </row>
  </sheetData>
  <mergeCells count="108">
    <mergeCell ref="F29:G29"/>
    <mergeCell ref="I95:J95"/>
    <mergeCell ref="F68:G68"/>
    <mergeCell ref="F25:G25"/>
    <mergeCell ref="F84:G84"/>
    <mergeCell ref="F16:G18"/>
    <mergeCell ref="F86:G86"/>
    <mergeCell ref="F80:G80"/>
    <mergeCell ref="F70:G70"/>
    <mergeCell ref="F79:G79"/>
    <mergeCell ref="F72:G72"/>
    <mergeCell ref="F81:G81"/>
    <mergeCell ref="F23:G23"/>
    <mergeCell ref="A20:A21"/>
    <mergeCell ref="F56:G56"/>
    <mergeCell ref="F71:G71"/>
    <mergeCell ref="F96:G96"/>
    <mergeCell ref="F43:G43"/>
    <mergeCell ref="F98:G98"/>
    <mergeCell ref="I94:J94"/>
    <mergeCell ref="C20:E20"/>
    <mergeCell ref="F88:G88"/>
    <mergeCell ref="F57:G57"/>
    <mergeCell ref="F54:G54"/>
    <mergeCell ref="F63:G63"/>
    <mergeCell ref="F34:G34"/>
    <mergeCell ref="F99:G99"/>
    <mergeCell ref="F74:G74"/>
    <mergeCell ref="K21:L21"/>
    <mergeCell ref="J7:L7"/>
    <mergeCell ref="F83:G83"/>
    <mergeCell ref="F30:G30"/>
    <mergeCell ref="F20:G20"/>
    <mergeCell ref="F76:G76"/>
    <mergeCell ref="F33:G33"/>
    <mergeCell ref="F45:G45"/>
    <mergeCell ref="F85:G85"/>
    <mergeCell ref="A97:L97"/>
    <mergeCell ref="F42:G42"/>
    <mergeCell ref="F94:G94"/>
    <mergeCell ref="H16:J18"/>
    <mergeCell ref="F66:G66"/>
    <mergeCell ref="F75:G75"/>
    <mergeCell ref="F47:G47"/>
    <mergeCell ref="F62:G62"/>
    <mergeCell ref="F31:G31"/>
    <mergeCell ref="F46:G46"/>
    <mergeCell ref="F28:G28"/>
    <mergeCell ref="F9:G9"/>
    <mergeCell ref="F61:G61"/>
    <mergeCell ref="F39:G39"/>
    <mergeCell ref="F48:G48"/>
    <mergeCell ref="H5:I5"/>
    <mergeCell ref="F44:G44"/>
    <mergeCell ref="K6:L6"/>
    <mergeCell ref="F64:G64"/>
    <mergeCell ref="F73:G73"/>
    <mergeCell ref="F87:G87"/>
    <mergeCell ref="F89:G89"/>
    <mergeCell ref="F21:G21"/>
    <mergeCell ref="A2:L2"/>
    <mergeCell ref="H21:I21"/>
    <mergeCell ref="H13:J13"/>
    <mergeCell ref="F36:G36"/>
    <mergeCell ref="F50:G50"/>
    <mergeCell ref="F101:G101"/>
    <mergeCell ref="F8:G8"/>
    <mergeCell ref="H15:J15"/>
    <mergeCell ref="F91:G91"/>
    <mergeCell ref="F100:G100"/>
    <mergeCell ref="H8:J8"/>
    <mergeCell ref="F22:G22"/>
    <mergeCell ref="F93:G93"/>
    <mergeCell ref="B20:B21"/>
    <mergeCell ref="F102:G102"/>
    <mergeCell ref="F77:G77"/>
    <mergeCell ref="F92:G92"/>
    <mergeCell ref="F49:G49"/>
    <mergeCell ref="F69:G69"/>
    <mergeCell ref="H20:I20"/>
    <mergeCell ref="F78:G78"/>
    <mergeCell ref="F65:G65"/>
    <mergeCell ref="F40:G40"/>
    <mergeCell ref="H9:L9"/>
    <mergeCell ref="F59:G59"/>
    <mergeCell ref="F55:G55"/>
    <mergeCell ref="K20:L20"/>
    <mergeCell ref="F24:G24"/>
    <mergeCell ref="F95:G95"/>
    <mergeCell ref="F51:G51"/>
    <mergeCell ref="F32:G32"/>
    <mergeCell ref="I93:J93"/>
    <mergeCell ref="F26:G26"/>
    <mergeCell ref="F41:G41"/>
    <mergeCell ref="F35:G35"/>
    <mergeCell ref="F38:G38"/>
    <mergeCell ref="F90:G90"/>
    <mergeCell ref="H7:I7"/>
    <mergeCell ref="F58:G58"/>
    <mergeCell ref="F27:G27"/>
    <mergeCell ref="F52:G52"/>
    <mergeCell ref="F67:G67"/>
    <mergeCell ref="F37:G37"/>
    <mergeCell ref="F82:G82"/>
    <mergeCell ref="A1:L1"/>
    <mergeCell ref="F60:G60"/>
    <mergeCell ref="K4:L4"/>
    <mergeCell ref="F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2026-04-11T02:11:22Z</dcterms:created>
  <dcterms:modified xmlns:dcterms="http://purl.org/dc/terms/" xmlns:xsi="http://www.w3.org/2001/XMLSchema-instance" xsi:type="dcterms:W3CDTF">2026-04-11T02:11:22Z</dcterms:modified>
</cp:coreProperties>
</file>